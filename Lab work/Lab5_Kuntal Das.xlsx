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udip Foundation\Lab work\"/>
    </mc:Choice>
  </mc:AlternateContent>
  <xr:revisionPtr revIDLastSave="0" documentId="13_ncr:1_{19D26784-17AC-42B8-BF6C-4FFE281C9E4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7" i="2" l="1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K68" i="2"/>
  <c r="K69" i="2"/>
  <c r="K70" i="2"/>
  <c r="K71" i="2"/>
  <c r="K72" i="2"/>
  <c r="K67" i="2"/>
  <c r="L67" i="2" s="1"/>
  <c r="J56" i="2"/>
  <c r="J57" i="2"/>
  <c r="J58" i="2"/>
  <c r="J59" i="2"/>
  <c r="J60" i="2"/>
  <c r="J61" i="2"/>
  <c r="J62" i="2"/>
  <c r="J47" i="2"/>
  <c r="K47" i="2" s="1"/>
  <c r="J48" i="2"/>
  <c r="K48" i="2" s="1"/>
  <c r="J49" i="2"/>
  <c r="K49" i="2" s="1"/>
  <c r="J50" i="2"/>
  <c r="K50" i="2" s="1"/>
  <c r="J51" i="2"/>
  <c r="K51" i="2" s="1"/>
  <c r="J46" i="2"/>
  <c r="K46" i="2" s="1"/>
  <c r="J37" i="2"/>
  <c r="J38" i="2"/>
  <c r="J39" i="2"/>
  <c r="K39" i="2" s="1"/>
  <c r="J40" i="2"/>
  <c r="J41" i="2"/>
  <c r="K41" i="2" s="1"/>
  <c r="J36" i="2"/>
  <c r="K36" i="2" s="1"/>
  <c r="J26" i="2"/>
  <c r="J27" i="2"/>
  <c r="J28" i="2"/>
  <c r="J29" i="2"/>
  <c r="J30" i="2"/>
  <c r="J31" i="2"/>
  <c r="J25" i="2"/>
  <c r="J16" i="2"/>
  <c r="K16" i="2" s="1"/>
  <c r="J17" i="2"/>
  <c r="K17" i="2" s="1"/>
  <c r="J18" i="2"/>
  <c r="K18" i="2" s="1"/>
  <c r="J19" i="2"/>
  <c r="K19" i="2" s="1"/>
  <c r="J20" i="2"/>
  <c r="K20" i="2" s="1"/>
  <c r="J15" i="2"/>
  <c r="K15" i="2" s="1"/>
  <c r="J5" i="2"/>
  <c r="J10" i="2"/>
  <c r="J9" i="2"/>
  <c r="J8" i="2"/>
  <c r="J7" i="2"/>
  <c r="J6" i="2"/>
  <c r="Q67" i="2" l="1"/>
  <c r="P67" i="2"/>
  <c r="L73" i="2"/>
  <c r="L72" i="2"/>
  <c r="L71" i="2"/>
  <c r="L70" i="2"/>
  <c r="L69" i="2"/>
  <c r="L68" i="2"/>
  <c r="L36" i="2"/>
  <c r="K38" i="2"/>
  <c r="L38" i="2" s="1"/>
  <c r="M48" i="2"/>
  <c r="L41" i="2"/>
  <c r="K37" i="2"/>
  <c r="L37" i="2" s="1"/>
  <c r="L39" i="2"/>
  <c r="K40" i="2"/>
  <c r="L4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<sst xmlns="http://schemas.openxmlformats.org/spreadsheetml/2006/main" count="83" uniqueCount="31">
  <si>
    <t>Product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</si>
  <si>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</si>
  <si>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</si>
  <si>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</si>
  <si>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</si>
  <si>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</si>
  <si>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</si>
  <si>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</si>
  <si>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</si>
  <si>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 ID</t>
  </si>
  <si>
    <t>Quantity</t>
  </si>
  <si>
    <t>Worksheet 1</t>
  </si>
  <si>
    <t>Worksheet  2</t>
  </si>
  <si>
    <t>Original Price</t>
  </si>
  <si>
    <t>1. Use VLOOKUP to find the product names for each ProductID in the Orders worksheet.</t>
  </si>
  <si>
    <t>Product Name</t>
  </si>
  <si>
    <t>Total Price</t>
  </si>
  <si>
    <t>3. Use VLOOKUP to check if there are any ProductIDs in the Orders worksheet that do not exist in the Products worksheet.</t>
  </si>
  <si>
    <t>Product exists or not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</si>
  <si>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</si>
  <si>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</si>
  <si>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Order value</t>
  </si>
  <si>
    <t>Max Order Value:</t>
  </si>
  <si>
    <t>6. Use VLOOKUP to find out which products from the Products worksheet have not been ordered.</t>
  </si>
  <si>
    <t>Product G</t>
  </si>
  <si>
    <t>Order Status</t>
  </si>
  <si>
    <t>7. Use VLOOKUP to find the Product name and summarize the total quantity sold for each product.</t>
  </si>
  <si>
    <t>Discount Amount (10%)</t>
  </si>
  <si>
    <t>Discounted Price</t>
  </si>
  <si>
    <t>Quantities Sold</t>
  </si>
  <si>
    <t>2. Use VLOOKUP to find the price for each ProductID in the Orders worksheet, then calculate the TotalPrice by multiplying the Quantity by the Product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</si>
</sst>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3" borderId="0" xfId="0" applyFont="1" applyFill="1"/>
    <xf numFmtId="0" fontId="0" fillId="0" borderId="1" xfId="0" applyFill="1" applyBorder="1"/>
    <xf numFmtId="0" fontId="1" fillId="0" borderId="1" xfId="0" applyFont="1" applyFill="1" applyBorder="1"/>
    <xf numFmtId="0" fontId="0" fillId="0" borderId="0" xfId="0" applyFill="1" applyBorder="1"/>
    <xf numFmtId="0" fontId="0" fillId="0" borderId="0" xfId="0" applyBorder="1"/>
    <xf numFmtId="0" fontId="1" fillId="2" borderId="1" xfId="0" applyFont="1" applyFill="1" applyBorder="1"/>
    <xf numFmtId="0" fontId="1" fillId="0" borderId="0" xfId="0" applyFont="1" applyFill="1" applyBorder="1"/>
    <xf numFmtId="0" fontId="1" fillId="0" borderId="0" xfId="0" applyFont="1" applyBorder="1"/>
    <xf numFmtId="0" fontId="1" fillId="0" borderId="2" xfId="0" applyFont="1" applyBorder="1"/>
    <xf numFmtId="0" fontId="1" fillId="0" borderId="2" xfId="0" applyFont="1" applyFill="1" applyBorder="1"/>
    <xf numFmtId="0" fontId="0" fillId="3" borderId="0" xfId="0" applyFill="1" applyBorder="1"/>
    <xf numFmtId="0" fontId="0" fillId="3" borderId="0" xfId="0" applyFill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0"/>
  <sheetViews>
    <sheetView workbookViewId="0">
      <selection activeCell="E5" sqref="E5"/>
    </sheetView>
  </sheetViews>
  <sheetFormatPr defaultRowHeight="15" x14ac:dyDescent="0.25"/>
  <cols>
    <col min="1" max="2" width="10.140625" bestFit="1" customWidth="1"/>
    <col min="3" max="3" width="9.5703125" bestFit="1" customWidth="1"/>
    <col min="4" max="4" width="5.42578125" bestFit="1" customWidth="1"/>
    <col min="8" max="9" width="10.140625" bestFit="1" customWidth="1"/>
    <col min="11" max="11" width="12" bestFit="1" customWidth="1"/>
  </cols>
  <sheetData>
    <row r="2" spans="2:17" x14ac:dyDescent="0.25">
      <c r="B2" s="8" t="s">
        <v>11</v>
      </c>
      <c r="C2" s="8"/>
      <c r="D2" s="3"/>
    </row>
    <row r="3" spans="2:17" x14ac:dyDescent="0.25">
      <c r="Q3" s="13"/>
    </row>
    <row r="4" spans="2:17" x14ac:dyDescent="0.25">
      <c r="B4" s="2" t="s">
        <v>0</v>
      </c>
      <c r="C4" s="2" t="s">
        <v>1</v>
      </c>
      <c r="D4" s="2" t="s">
        <v>2</v>
      </c>
    </row>
    <row r="5" spans="2:17" x14ac:dyDescent="0.25">
      <c r="B5" s="1">
        <v>101</v>
      </c>
      <c r="C5" s="1" t="s">
        <v>3</v>
      </c>
      <c r="D5" s="1">
        <v>120</v>
      </c>
    </row>
    <row r="6" spans="2:17" x14ac:dyDescent="0.25">
      <c r="B6" s="1">
        <v>102</v>
      </c>
      <c r="C6" s="1" t="s">
        <v>4</v>
      </c>
      <c r="D6" s="1">
        <v>150</v>
      </c>
    </row>
    <row r="7" spans="2:17" x14ac:dyDescent="0.25">
      <c r="B7" s="1">
        <v>103</v>
      </c>
      <c r="C7" s="1" t="s">
        <v>5</v>
      </c>
      <c r="D7" s="1">
        <v>200</v>
      </c>
    </row>
    <row r="8" spans="2:17" x14ac:dyDescent="0.25">
      <c r="B8" s="1">
        <v>104</v>
      </c>
      <c r="C8" s="1" t="s">
        <v>6</v>
      </c>
      <c r="D8" s="1">
        <v>90</v>
      </c>
    </row>
    <row r="9" spans="2:17" x14ac:dyDescent="0.25">
      <c r="B9" s="1">
        <v>105</v>
      </c>
      <c r="C9" s="1" t="s">
        <v>7</v>
      </c>
      <c r="D9" s="1">
        <v>220</v>
      </c>
    </row>
    <row r="10" spans="2:17" x14ac:dyDescent="0.25">
      <c r="B10" s="1">
        <v>106</v>
      </c>
      <c r="C10" s="1" t="s">
        <v>8</v>
      </c>
      <c r="D10" s="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5B-A1AA-4284-82E0-D4401EAEBA36}">
  <dimension ref="B2:AM73"/>
  <sheetViews>
    <sheetView tabSelected="1" topLeftCell="E54" workbookViewId="0">
      <selection activeCell="O67" sqref="O67"/>
    </sheetView>
  </sheetViews>
  <sheetFormatPr defaultRowHeight="15" x14ac:dyDescent="0.25"/>
  <cols>
    <col min="1" max="1" width="10.140625" bestFit="1" customWidth="1"/>
    <col min="2" max="2" width="12.7109375" bestFit="1" customWidth="1"/>
    <col min="3" max="3" width="10.140625" bestFit="1" customWidth="1"/>
    <col min="4" max="4" width="8.7109375" bestFit="1" customWidth="1"/>
    <col min="5" max="5" width="15.7109375" bestFit="1" customWidth="1"/>
    <col min="6" max="6" width="10.28515625" bestFit="1" customWidth="1"/>
    <col min="7" max="7" width="10.140625" bestFit="1" customWidth="1"/>
    <col min="8" max="8" width="13.7109375" bestFit="1" customWidth="1"/>
    <col min="9" max="9" width="14.7109375" bestFit="1" customWidth="1"/>
    <col min="10" max="10" width="19.42578125" bestFit="1" customWidth="1"/>
    <col min="11" max="11" width="22.140625" bestFit="1" customWidth="1"/>
    <col min="12" max="12" width="16.7109375" bestFit="1" customWidth="1"/>
    <col min="13" max="13" width="4" bestFit="1" customWidth="1"/>
    <col min="15" max="15" width="13.7109375" bestFit="1" customWidth="1"/>
    <col min="16" max="16" width="14.7109375" bestFit="1" customWidth="1"/>
    <col min="17" max="17" width="10.28515625" bestFit="1" customWidth="1"/>
  </cols>
  <sheetData>
    <row r="2" spans="2:39" x14ac:dyDescent="0.25">
      <c r="B2" s="8" t="s">
        <v>12</v>
      </c>
      <c r="C2" s="8"/>
    </row>
    <row r="3" spans="2:39" x14ac:dyDescent="0.25">
      <c r="G3" s="15" t="s">
        <v>14</v>
      </c>
      <c r="H3" s="16"/>
      <c r="I3" s="16"/>
      <c r="J3" s="16"/>
      <c r="K3" s="17"/>
      <c r="L3" s="3"/>
      <c r="M3" s="3"/>
    </row>
    <row r="4" spans="2:39" x14ac:dyDescent="0.25">
      <c r="B4" s="2" t="s">
        <v>9</v>
      </c>
      <c r="C4" s="2" t="s">
        <v>0</v>
      </c>
      <c r="D4" s="2" t="s">
        <v>10</v>
      </c>
      <c r="G4" s="11" t="s">
        <v>9</v>
      </c>
      <c r="H4" s="11" t="s">
        <v>0</v>
      </c>
      <c r="I4" s="11" t="s">
        <v>10</v>
      </c>
      <c r="J4" s="11" t="s">
        <v>15</v>
      </c>
    </row>
    <row r="5" spans="2:39" x14ac:dyDescent="0.25">
      <c r="B5" s="1">
        <v>1</v>
      </c>
      <c r="C5" s="1">
        <v>101</v>
      </c>
      <c r="D5" s="1">
        <v>2</v>
      </c>
      <c r="G5" s="1">
        <v>1</v>
      </c>
      <c r="H5" s="1">
        <v>101</v>
      </c>
      <c r="I5" s="1">
        <v>2</v>
      </c>
      <c r="J5" s="1" t="str">
        <f>VLOOKUP(H5,Products!$B$4:$D$10,2,0)</f>
        <v>Product A</v>
      </c>
    </row>
    <row r="6" spans="2:39" x14ac:dyDescent="0.25">
      <c r="B6" s="1">
        <v>2</v>
      </c>
      <c r="C6" s="1">
        <v>103</v>
      </c>
      <c r="D6" s="1">
        <v>1</v>
      </c>
      <c r="G6" s="1">
        <v>2</v>
      </c>
      <c r="H6" s="1">
        <v>103</v>
      </c>
      <c r="I6" s="1">
        <v>1</v>
      </c>
      <c r="J6" s="1" t="str">
        <f>VLOOKUP(H6,Products!$B$4:$D$10,2,0)</f>
        <v>Product C</v>
      </c>
    </row>
    <row r="7" spans="2:39" x14ac:dyDescent="0.25">
      <c r="B7" s="1">
        <v>3</v>
      </c>
      <c r="C7" s="1">
        <v>105</v>
      </c>
      <c r="D7" s="1">
        <v>4</v>
      </c>
      <c r="G7" s="1">
        <v>3</v>
      </c>
      <c r="H7" s="1">
        <v>105</v>
      </c>
      <c r="I7" s="1">
        <v>4</v>
      </c>
      <c r="J7" s="1" t="str">
        <f>VLOOKUP(H7,Products!$B$4:$D$10,2,0)</f>
        <v>Product E</v>
      </c>
    </row>
    <row r="8" spans="2:39" x14ac:dyDescent="0.25">
      <c r="B8" s="1">
        <v>4</v>
      </c>
      <c r="C8" s="1">
        <v>106</v>
      </c>
      <c r="D8" s="1">
        <v>3</v>
      </c>
      <c r="G8" s="1">
        <v>4</v>
      </c>
      <c r="H8" s="1">
        <v>106</v>
      </c>
      <c r="I8" s="1">
        <v>3</v>
      </c>
      <c r="J8" s="1" t="str">
        <f>VLOOKUP(H8,Products!$B$4:$D$10,2,0)</f>
        <v>Product F</v>
      </c>
    </row>
    <row r="9" spans="2:39" x14ac:dyDescent="0.25">
      <c r="B9" s="1">
        <v>5</v>
      </c>
      <c r="C9" s="1">
        <v>102</v>
      </c>
      <c r="D9" s="1">
        <v>5</v>
      </c>
      <c r="G9" s="1">
        <v>5</v>
      </c>
      <c r="H9" s="1">
        <v>102</v>
      </c>
      <c r="I9" s="1">
        <v>5</v>
      </c>
      <c r="J9" s="1" t="str">
        <f>VLOOKUP(H9,Products!$B$4:$D$10,2,0)</f>
        <v>Product B</v>
      </c>
      <c r="AC9" s="10"/>
      <c r="AD9" s="10"/>
      <c r="AE9" s="10"/>
      <c r="AF9" s="10"/>
      <c r="AG9" s="10"/>
      <c r="AH9" s="10"/>
      <c r="AI9" s="9"/>
      <c r="AJ9" s="9"/>
      <c r="AK9" s="9"/>
      <c r="AL9" s="9"/>
      <c r="AM9" s="7"/>
    </row>
    <row r="10" spans="2:39" x14ac:dyDescent="0.25">
      <c r="B10" s="1">
        <v>6</v>
      </c>
      <c r="C10" s="1">
        <v>104</v>
      </c>
      <c r="D10" s="1">
        <v>6</v>
      </c>
      <c r="G10" s="1">
        <v>6</v>
      </c>
      <c r="H10" s="1">
        <v>104</v>
      </c>
      <c r="I10" s="1">
        <v>6</v>
      </c>
      <c r="J10" s="1" t="str">
        <f>VLOOKUP(H10,Products!$B$4:$D$10,2,0)</f>
        <v>Product D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2:39" x14ac:dyDescent="0.25">
      <c r="B11" s="6"/>
      <c r="C11" s="6"/>
      <c r="D11" s="6"/>
      <c r="G11" s="6"/>
      <c r="H11" s="6"/>
      <c r="I11" s="6"/>
      <c r="J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2:39" x14ac:dyDescent="0.25"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x14ac:dyDescent="0.25">
      <c r="G13" s="21" t="s">
        <v>30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3"/>
      <c r="S13" s="3"/>
      <c r="T13" s="3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x14ac:dyDescent="0.25">
      <c r="G14" s="11" t="s">
        <v>9</v>
      </c>
      <c r="H14" s="11" t="s">
        <v>0</v>
      </c>
      <c r="I14" s="11" t="s">
        <v>10</v>
      </c>
      <c r="J14" s="11" t="s">
        <v>2</v>
      </c>
      <c r="K14" s="11" t="s">
        <v>16</v>
      </c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x14ac:dyDescent="0.25">
      <c r="G15" s="1">
        <v>1</v>
      </c>
      <c r="H15" s="1">
        <v>101</v>
      </c>
      <c r="I15" s="1">
        <v>2</v>
      </c>
      <c r="J15" s="1">
        <f>VLOOKUP(H15,Products!$B$4:$D$10,3,0)</f>
        <v>120</v>
      </c>
      <c r="K15" s="1">
        <f>I15*J15</f>
        <v>240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x14ac:dyDescent="0.25">
      <c r="G16" s="1">
        <v>2</v>
      </c>
      <c r="H16" s="1">
        <v>103</v>
      </c>
      <c r="I16" s="1">
        <v>1</v>
      </c>
      <c r="J16" s="1">
        <f>VLOOKUP(H16,Products!$B$4:$D$10,3,0)</f>
        <v>200</v>
      </c>
      <c r="K16" s="1">
        <f t="shared" ref="K16:K20" si="0">I16*J16</f>
        <v>200</v>
      </c>
      <c r="AC16" s="6"/>
      <c r="AD16" s="6"/>
      <c r="AE16" s="6"/>
      <c r="AF16" s="7"/>
      <c r="AG16" s="7"/>
      <c r="AH16" s="7"/>
      <c r="AI16" s="7"/>
      <c r="AJ16" s="7"/>
      <c r="AK16" s="7"/>
      <c r="AL16" s="7"/>
      <c r="AM16" s="7"/>
    </row>
    <row r="17" spans="2:39" x14ac:dyDescent="0.25">
      <c r="G17" s="1">
        <v>3</v>
      </c>
      <c r="H17" s="1">
        <v>105</v>
      </c>
      <c r="I17" s="1">
        <v>4</v>
      </c>
      <c r="J17" s="1">
        <f>VLOOKUP(H17,Products!$B$4:$D$10,3,0)</f>
        <v>220</v>
      </c>
      <c r="K17" s="1">
        <f t="shared" si="0"/>
        <v>880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2:39" x14ac:dyDescent="0.25">
      <c r="G18" s="1">
        <v>4</v>
      </c>
      <c r="H18" s="1">
        <v>106</v>
      </c>
      <c r="I18" s="1">
        <v>3</v>
      </c>
      <c r="J18" s="1">
        <f>VLOOKUP(H18,Products!$B$4:$D$10,3,0)</f>
        <v>130</v>
      </c>
      <c r="K18" s="1">
        <f t="shared" si="0"/>
        <v>390</v>
      </c>
    </row>
    <row r="19" spans="2:39" x14ac:dyDescent="0.25">
      <c r="G19" s="1">
        <v>5</v>
      </c>
      <c r="H19" s="1">
        <v>102</v>
      </c>
      <c r="I19" s="1">
        <v>5</v>
      </c>
      <c r="J19" s="1">
        <f>VLOOKUP(H19,Products!$B$4:$D$10,3,0)</f>
        <v>150</v>
      </c>
      <c r="K19" s="1">
        <f t="shared" si="0"/>
        <v>750</v>
      </c>
    </row>
    <row r="20" spans="2:39" x14ac:dyDescent="0.25">
      <c r="G20" s="1">
        <v>6</v>
      </c>
      <c r="H20" s="1">
        <v>104</v>
      </c>
      <c r="I20" s="1">
        <v>6</v>
      </c>
      <c r="J20" s="1">
        <f>VLOOKUP(H20,Products!$B$4:$D$10,3,0)</f>
        <v>90</v>
      </c>
      <c r="K20" s="1">
        <f t="shared" si="0"/>
        <v>540</v>
      </c>
    </row>
    <row r="21" spans="2:39" x14ac:dyDescent="0.25">
      <c r="G21" s="6"/>
      <c r="H21" s="6"/>
      <c r="I21" s="6"/>
      <c r="J21" s="7"/>
      <c r="K21" s="7"/>
    </row>
    <row r="23" spans="2:39" x14ac:dyDescent="0.25">
      <c r="G23" s="21" t="s">
        <v>17</v>
      </c>
      <c r="H23" s="21"/>
      <c r="I23" s="21"/>
      <c r="J23" s="21"/>
      <c r="K23" s="21"/>
      <c r="L23" s="21"/>
      <c r="M23" s="21"/>
      <c r="N23" s="21"/>
      <c r="O23" s="3"/>
      <c r="P23" s="3"/>
      <c r="Q23" s="14"/>
      <c r="R23" s="14"/>
    </row>
    <row r="24" spans="2:39" x14ac:dyDescent="0.25">
      <c r="B24" s="2" t="s">
        <v>9</v>
      </c>
      <c r="C24" s="2" t="s">
        <v>0</v>
      </c>
      <c r="D24" s="2" t="s">
        <v>10</v>
      </c>
      <c r="G24" s="11" t="s">
        <v>9</v>
      </c>
      <c r="H24" s="11" t="s">
        <v>0</v>
      </c>
      <c r="I24" s="11" t="s">
        <v>10</v>
      </c>
      <c r="J24" s="12" t="s">
        <v>18</v>
      </c>
    </row>
    <row r="25" spans="2:39" x14ac:dyDescent="0.25">
      <c r="B25" s="1">
        <v>1</v>
      </c>
      <c r="C25" s="1">
        <v>101</v>
      </c>
      <c r="D25" s="1">
        <v>2</v>
      </c>
      <c r="G25" s="1">
        <v>1</v>
      </c>
      <c r="H25" s="1">
        <v>101</v>
      </c>
      <c r="I25" s="1">
        <v>2</v>
      </c>
      <c r="J25" s="1" t="str">
        <f>IF(ISNA(VLOOKUP(H25,Products!$B$4:$D$10,1,0)),"Not Exist","Exists")</f>
        <v>Exists</v>
      </c>
    </row>
    <row r="26" spans="2:39" x14ac:dyDescent="0.25">
      <c r="B26" s="1">
        <v>2</v>
      </c>
      <c r="C26" s="1">
        <v>103</v>
      </c>
      <c r="D26" s="1">
        <v>1</v>
      </c>
      <c r="G26" s="1">
        <v>2</v>
      </c>
      <c r="H26" s="1">
        <v>103</v>
      </c>
      <c r="I26" s="1">
        <v>1</v>
      </c>
      <c r="J26" s="1" t="str">
        <f>IF(ISNA(VLOOKUP(H26,Products!$B$4:$D$10,1,0)),"Not Exist","Exists")</f>
        <v>Exists</v>
      </c>
    </row>
    <row r="27" spans="2:39" x14ac:dyDescent="0.25">
      <c r="B27" s="1">
        <v>3</v>
      </c>
      <c r="C27" s="1">
        <v>105</v>
      </c>
      <c r="D27" s="1">
        <v>4</v>
      </c>
      <c r="G27" s="1">
        <v>3</v>
      </c>
      <c r="H27" s="1">
        <v>105</v>
      </c>
      <c r="I27" s="1">
        <v>4</v>
      </c>
      <c r="J27" s="1" t="str">
        <f>IF(ISNA(VLOOKUP(H27,Products!$B$4:$D$10,1,0)),"Not Exist","Exists")</f>
        <v>Exists</v>
      </c>
    </row>
    <row r="28" spans="2:39" x14ac:dyDescent="0.25">
      <c r="B28" s="1">
        <v>4</v>
      </c>
      <c r="C28" s="1">
        <v>106</v>
      </c>
      <c r="D28" s="1">
        <v>3</v>
      </c>
      <c r="G28" s="1">
        <v>4</v>
      </c>
      <c r="H28" s="1">
        <v>106</v>
      </c>
      <c r="I28" s="1">
        <v>3</v>
      </c>
      <c r="J28" s="1" t="str">
        <f>IF(ISNA(VLOOKUP(H28,Products!$B$4:$D$10,1,0)),"Not Exist","Exists")</f>
        <v>Exists</v>
      </c>
    </row>
    <row r="29" spans="2:39" x14ac:dyDescent="0.25">
      <c r="B29" s="1">
        <v>5</v>
      </c>
      <c r="C29" s="1">
        <v>102</v>
      </c>
      <c r="D29" s="1">
        <v>5</v>
      </c>
      <c r="G29" s="1">
        <v>5</v>
      </c>
      <c r="H29" s="1">
        <v>102</v>
      </c>
      <c r="I29" s="1">
        <v>5</v>
      </c>
      <c r="J29" s="1" t="str">
        <f>IF(ISNA(VLOOKUP(H29,Products!$B$4:$D$10,1,0)),"Not Exist","Exists")</f>
        <v>Exists</v>
      </c>
    </row>
    <row r="30" spans="2:39" x14ac:dyDescent="0.25">
      <c r="B30" s="1">
        <v>6</v>
      </c>
      <c r="C30" s="1">
        <v>104</v>
      </c>
      <c r="D30" s="1">
        <v>6</v>
      </c>
      <c r="G30" s="1">
        <v>6</v>
      </c>
      <c r="H30" s="1">
        <v>104</v>
      </c>
      <c r="I30" s="1">
        <v>6</v>
      </c>
      <c r="J30" s="1" t="str">
        <f>IF(ISNA(VLOOKUP(H30,Products!$B$4:$D$10,1,0)),"Not Exist","Exists")</f>
        <v>Exists</v>
      </c>
    </row>
    <row r="31" spans="2:39" x14ac:dyDescent="0.25">
      <c r="B31" s="4">
        <v>7</v>
      </c>
      <c r="C31" s="4">
        <v>107</v>
      </c>
      <c r="D31" s="4">
        <v>7</v>
      </c>
      <c r="G31" s="4">
        <v>7</v>
      </c>
      <c r="H31" s="4">
        <v>107</v>
      </c>
      <c r="I31" s="4">
        <v>7</v>
      </c>
      <c r="J31" s="1" t="str">
        <f>IF(ISNA(VLOOKUP(H31,Products!$B$4:$D$10,1,0)),"Not Exist","Exists")</f>
        <v>Not Exist</v>
      </c>
    </row>
    <row r="34" spans="7:18" x14ac:dyDescent="0.25">
      <c r="G34" s="15" t="s">
        <v>19</v>
      </c>
      <c r="H34" s="16"/>
      <c r="I34" s="16"/>
      <c r="J34" s="16"/>
      <c r="K34" s="16"/>
      <c r="L34" s="16"/>
      <c r="M34" s="16"/>
      <c r="N34" s="16"/>
      <c r="O34" s="17"/>
      <c r="P34" s="3"/>
      <c r="Q34" s="3"/>
      <c r="R34" s="3"/>
    </row>
    <row r="35" spans="7:18" x14ac:dyDescent="0.25">
      <c r="G35" s="11" t="s">
        <v>9</v>
      </c>
      <c r="H35" s="11" t="s">
        <v>0</v>
      </c>
      <c r="I35" s="11" t="s">
        <v>10</v>
      </c>
      <c r="J35" s="12" t="s">
        <v>13</v>
      </c>
      <c r="K35" s="12" t="s">
        <v>27</v>
      </c>
      <c r="L35" s="12" t="s">
        <v>28</v>
      </c>
    </row>
    <row r="36" spans="7:18" x14ac:dyDescent="0.25">
      <c r="G36" s="1">
        <v>1</v>
      </c>
      <c r="H36" s="1">
        <v>101</v>
      </c>
      <c r="I36" s="1">
        <v>2</v>
      </c>
      <c r="J36" s="1">
        <f>VLOOKUP(H36,Products!$B$4:$D$10,3,0)</f>
        <v>120</v>
      </c>
      <c r="K36" s="1">
        <f>J36*10%</f>
        <v>12</v>
      </c>
      <c r="L36" s="1">
        <f>J36-K36</f>
        <v>108</v>
      </c>
    </row>
    <row r="37" spans="7:18" x14ac:dyDescent="0.25">
      <c r="G37" s="1">
        <v>2</v>
      </c>
      <c r="H37" s="1">
        <v>103</v>
      </c>
      <c r="I37" s="1">
        <v>1</v>
      </c>
      <c r="J37" s="1">
        <f>VLOOKUP(H37,Products!$B$4:$D$10,3,0)</f>
        <v>200</v>
      </c>
      <c r="K37" s="1">
        <f t="shared" ref="K37:K41" si="1">J37*10%</f>
        <v>20</v>
      </c>
      <c r="L37" s="1">
        <f t="shared" ref="L37:L41" si="2">J37-K37</f>
        <v>180</v>
      </c>
    </row>
    <row r="38" spans="7:18" x14ac:dyDescent="0.25">
      <c r="G38" s="1">
        <v>3</v>
      </c>
      <c r="H38" s="1">
        <v>105</v>
      </c>
      <c r="I38" s="1">
        <v>4</v>
      </c>
      <c r="J38" s="1">
        <f>VLOOKUP(H38,Products!$B$4:$D$10,3,0)</f>
        <v>220</v>
      </c>
      <c r="K38" s="1">
        <f t="shared" si="1"/>
        <v>22</v>
      </c>
      <c r="L38" s="1">
        <f t="shared" si="2"/>
        <v>198</v>
      </c>
    </row>
    <row r="39" spans="7:18" x14ac:dyDescent="0.25">
      <c r="G39" s="1">
        <v>4</v>
      </c>
      <c r="H39" s="1">
        <v>106</v>
      </c>
      <c r="I39" s="1">
        <v>3</v>
      </c>
      <c r="J39" s="1">
        <f>VLOOKUP(H39,Products!$B$4:$D$10,3,0)</f>
        <v>130</v>
      </c>
      <c r="K39" s="1">
        <f t="shared" si="1"/>
        <v>13</v>
      </c>
      <c r="L39" s="1">
        <f t="shared" si="2"/>
        <v>117</v>
      </c>
    </row>
    <row r="40" spans="7:18" x14ac:dyDescent="0.25">
      <c r="G40" s="1">
        <v>5</v>
      </c>
      <c r="H40" s="1">
        <v>102</v>
      </c>
      <c r="I40" s="1">
        <v>5</v>
      </c>
      <c r="J40" s="1">
        <f>VLOOKUP(H40,Products!$B$4:$D$10,3,0)</f>
        <v>150</v>
      </c>
      <c r="K40" s="1">
        <f t="shared" si="1"/>
        <v>15</v>
      </c>
      <c r="L40" s="1">
        <f t="shared" si="2"/>
        <v>135</v>
      </c>
    </row>
    <row r="41" spans="7:18" x14ac:dyDescent="0.25">
      <c r="G41" s="1">
        <v>6</v>
      </c>
      <c r="H41" s="1">
        <v>104</v>
      </c>
      <c r="I41" s="1">
        <v>6</v>
      </c>
      <c r="J41" s="1">
        <f>VLOOKUP(H41,Products!$B$4:$D$10,3,0)</f>
        <v>90</v>
      </c>
      <c r="K41" s="1">
        <f t="shared" si="1"/>
        <v>9</v>
      </c>
      <c r="L41" s="1">
        <f t="shared" si="2"/>
        <v>81</v>
      </c>
    </row>
    <row r="44" spans="7:18" x14ac:dyDescent="0.25">
      <c r="G44" s="21" t="s">
        <v>20</v>
      </c>
      <c r="H44" s="21"/>
      <c r="I44" s="21"/>
      <c r="J44" s="21"/>
      <c r="K44" s="21"/>
      <c r="L44" s="21"/>
      <c r="M44" s="21"/>
      <c r="N44" s="21"/>
      <c r="O44" s="21"/>
      <c r="P44" s="14"/>
      <c r="Q44" s="14"/>
    </row>
    <row r="45" spans="7:18" x14ac:dyDescent="0.25">
      <c r="G45" s="11" t="s">
        <v>9</v>
      </c>
      <c r="H45" s="11" t="s">
        <v>0</v>
      </c>
      <c r="I45" s="11" t="s">
        <v>10</v>
      </c>
      <c r="J45" s="12" t="s">
        <v>2</v>
      </c>
      <c r="K45" s="12" t="s">
        <v>21</v>
      </c>
    </row>
    <row r="46" spans="7:18" x14ac:dyDescent="0.25">
      <c r="G46" s="1">
        <v>1</v>
      </c>
      <c r="H46" s="1">
        <v>101</v>
      </c>
      <c r="I46" s="1">
        <v>2</v>
      </c>
      <c r="J46" s="1">
        <f>VLOOKUP(H46,Products!$B$4:$D$10,3,0)</f>
        <v>120</v>
      </c>
      <c r="K46" s="1">
        <f>I46*J46</f>
        <v>240</v>
      </c>
    </row>
    <row r="47" spans="7:18" x14ac:dyDescent="0.25">
      <c r="G47" s="1">
        <v>2</v>
      </c>
      <c r="H47" s="1">
        <v>103</v>
      </c>
      <c r="I47" s="1">
        <v>1</v>
      </c>
      <c r="J47" s="1">
        <f>VLOOKUP(H47,Products!$B$4:$D$10,3,0)</f>
        <v>200</v>
      </c>
      <c r="K47" s="1">
        <f t="shared" ref="K47:K51" si="3">I47*J47</f>
        <v>200</v>
      </c>
    </row>
    <row r="48" spans="7:18" x14ac:dyDescent="0.25">
      <c r="G48" s="1">
        <v>3</v>
      </c>
      <c r="H48" s="1">
        <v>105</v>
      </c>
      <c r="I48" s="1">
        <v>4</v>
      </c>
      <c r="J48" s="1">
        <f>VLOOKUP(H48,Products!$B$4:$D$10,3,0)</f>
        <v>220</v>
      </c>
      <c r="K48" s="1">
        <f t="shared" si="3"/>
        <v>880</v>
      </c>
      <c r="L48" s="2" t="s">
        <v>22</v>
      </c>
      <c r="M48" s="1">
        <f>MAX(K46:K51)</f>
        <v>880</v>
      </c>
    </row>
    <row r="49" spans="2:15" x14ac:dyDescent="0.25">
      <c r="G49" s="1">
        <v>4</v>
      </c>
      <c r="H49" s="1">
        <v>106</v>
      </c>
      <c r="I49" s="1">
        <v>3</v>
      </c>
      <c r="J49" s="1">
        <f>VLOOKUP(H49,Products!$B$4:$D$10,3,0)</f>
        <v>130</v>
      </c>
      <c r="K49" s="1">
        <f t="shared" si="3"/>
        <v>390</v>
      </c>
    </row>
    <row r="50" spans="2:15" x14ac:dyDescent="0.25">
      <c r="G50" s="1">
        <v>5</v>
      </c>
      <c r="H50" s="1">
        <v>102</v>
      </c>
      <c r="I50" s="1">
        <v>5</v>
      </c>
      <c r="J50" s="1">
        <f>VLOOKUP(H50,Products!$B$4:$D$10,3,0)</f>
        <v>150</v>
      </c>
      <c r="K50" s="1">
        <f t="shared" si="3"/>
        <v>750</v>
      </c>
    </row>
    <row r="51" spans="2:15" x14ac:dyDescent="0.25">
      <c r="G51" s="1">
        <v>6</v>
      </c>
      <c r="H51" s="1">
        <v>104</v>
      </c>
      <c r="I51" s="1">
        <v>6</v>
      </c>
      <c r="J51" s="1">
        <f>VLOOKUP(H51,Products!$B$4:$D$10,3,0)</f>
        <v>90</v>
      </c>
      <c r="K51" s="1">
        <f t="shared" si="3"/>
        <v>540</v>
      </c>
    </row>
    <row r="54" spans="2:15" x14ac:dyDescent="0.25">
      <c r="G54" s="21" t="s">
        <v>23</v>
      </c>
      <c r="H54" s="21"/>
      <c r="I54" s="21"/>
      <c r="J54" s="21"/>
      <c r="K54" s="21"/>
      <c r="L54" s="21"/>
      <c r="M54" s="13"/>
      <c r="N54" s="13"/>
      <c r="O54" s="13"/>
    </row>
    <row r="55" spans="2:15" x14ac:dyDescent="0.25">
      <c r="B55" s="2" t="s">
        <v>0</v>
      </c>
      <c r="C55" s="2" t="s">
        <v>1</v>
      </c>
      <c r="D55" s="2" t="s">
        <v>2</v>
      </c>
      <c r="G55" s="11" t="s">
        <v>0</v>
      </c>
      <c r="H55" s="11" t="s">
        <v>1</v>
      </c>
      <c r="I55" s="11" t="s">
        <v>2</v>
      </c>
      <c r="J55" s="12" t="s">
        <v>25</v>
      </c>
    </row>
    <row r="56" spans="2:15" x14ac:dyDescent="0.25">
      <c r="B56" s="1">
        <v>101</v>
      </c>
      <c r="C56" s="1" t="s">
        <v>3</v>
      </c>
      <c r="D56" s="1">
        <v>120</v>
      </c>
      <c r="G56" s="1">
        <v>101</v>
      </c>
      <c r="H56" s="1" t="s">
        <v>3</v>
      </c>
      <c r="I56" s="1">
        <v>120</v>
      </c>
      <c r="J56" s="1" t="str">
        <f>IF(ISNA(VLOOKUP(G56,Products!$B$4:$D$10,1,0)),"Not Ordered","Ordered")</f>
        <v>Ordered</v>
      </c>
    </row>
    <row r="57" spans="2:15" x14ac:dyDescent="0.25">
      <c r="B57" s="1">
        <v>102</v>
      </c>
      <c r="C57" s="1" t="s">
        <v>4</v>
      </c>
      <c r="D57" s="1">
        <v>150</v>
      </c>
      <c r="G57" s="1">
        <v>102</v>
      </c>
      <c r="H57" s="1" t="s">
        <v>4</v>
      </c>
      <c r="I57" s="1">
        <v>150</v>
      </c>
      <c r="J57" s="1" t="str">
        <f>IF(ISNA(VLOOKUP(G57,Products!$B$4:$D$10,1,0)),"Not Ordered","Ordered")</f>
        <v>Ordered</v>
      </c>
    </row>
    <row r="58" spans="2:15" x14ac:dyDescent="0.25">
      <c r="B58" s="1">
        <v>103</v>
      </c>
      <c r="C58" s="1" t="s">
        <v>5</v>
      </c>
      <c r="D58" s="1">
        <v>200</v>
      </c>
      <c r="G58" s="1">
        <v>103</v>
      </c>
      <c r="H58" s="1" t="s">
        <v>5</v>
      </c>
      <c r="I58" s="1">
        <v>200</v>
      </c>
      <c r="J58" s="1" t="str">
        <f>IF(ISNA(VLOOKUP(G58,Products!$B$4:$D$10,1,0)),"Not Ordered","Ordered")</f>
        <v>Ordered</v>
      </c>
    </row>
    <row r="59" spans="2:15" x14ac:dyDescent="0.25">
      <c r="B59" s="1">
        <v>104</v>
      </c>
      <c r="C59" s="1" t="s">
        <v>6</v>
      </c>
      <c r="D59" s="1">
        <v>90</v>
      </c>
      <c r="G59" s="1">
        <v>104</v>
      </c>
      <c r="H59" s="1" t="s">
        <v>6</v>
      </c>
      <c r="I59" s="1">
        <v>90</v>
      </c>
      <c r="J59" s="1" t="str">
        <f>IF(ISNA(VLOOKUP(G59,Products!$B$4:$D$10,1,0)),"Not Ordered","Ordered")</f>
        <v>Ordered</v>
      </c>
    </row>
    <row r="60" spans="2:15" x14ac:dyDescent="0.25">
      <c r="B60" s="1">
        <v>105</v>
      </c>
      <c r="C60" s="1" t="s">
        <v>7</v>
      </c>
      <c r="D60" s="1">
        <v>220</v>
      </c>
      <c r="G60" s="1">
        <v>105</v>
      </c>
      <c r="H60" s="1" t="s">
        <v>7</v>
      </c>
      <c r="I60" s="1">
        <v>220</v>
      </c>
      <c r="J60" s="1" t="str">
        <f>IF(ISNA(VLOOKUP(G60,Products!$B$4:$D$10,1,0)),"Not Ordered","Ordered")</f>
        <v>Ordered</v>
      </c>
    </row>
    <row r="61" spans="2:15" x14ac:dyDescent="0.25">
      <c r="B61" s="1">
        <v>106</v>
      </c>
      <c r="C61" s="1" t="s">
        <v>8</v>
      </c>
      <c r="D61" s="1">
        <v>130</v>
      </c>
      <c r="G61" s="1">
        <v>106</v>
      </c>
      <c r="H61" s="1" t="s">
        <v>8</v>
      </c>
      <c r="I61" s="1">
        <v>130</v>
      </c>
      <c r="J61" s="1" t="str">
        <f>IF(ISNA(VLOOKUP(G61,Products!$B$4:$D$10,1,0)),"Not Ordered","Ordered")</f>
        <v>Ordered</v>
      </c>
    </row>
    <row r="62" spans="2:15" x14ac:dyDescent="0.25">
      <c r="B62" s="4">
        <v>107</v>
      </c>
      <c r="C62" s="4" t="s">
        <v>24</v>
      </c>
      <c r="D62" s="4">
        <v>230</v>
      </c>
      <c r="G62" s="4">
        <v>107</v>
      </c>
      <c r="H62" s="1" t="s">
        <v>24</v>
      </c>
      <c r="I62" s="4">
        <v>230</v>
      </c>
      <c r="J62" s="1" t="str">
        <f>IF(ISNA(VLOOKUP(G62,Products!$B$4:$D$10,1,0)),"Not Ordered","Ordered")</f>
        <v>Not Ordered</v>
      </c>
    </row>
    <row r="65" spans="2:17" x14ac:dyDescent="0.25">
      <c r="G65" s="18" t="s">
        <v>26</v>
      </c>
      <c r="H65" s="19"/>
      <c r="I65" s="19"/>
      <c r="J65" s="19"/>
      <c r="K65" s="19"/>
      <c r="L65" s="20"/>
    </row>
    <row r="66" spans="2:17" x14ac:dyDescent="0.25">
      <c r="B66" s="2" t="s">
        <v>9</v>
      </c>
      <c r="C66" s="2" t="s">
        <v>0</v>
      </c>
      <c r="D66" s="2" t="s">
        <v>10</v>
      </c>
      <c r="G66" s="2" t="s">
        <v>9</v>
      </c>
      <c r="H66" s="2" t="s">
        <v>0</v>
      </c>
      <c r="I66" s="2" t="s">
        <v>15</v>
      </c>
      <c r="J66" s="2" t="s">
        <v>2</v>
      </c>
      <c r="K66" s="5" t="s">
        <v>29</v>
      </c>
      <c r="L66" s="5" t="s">
        <v>16</v>
      </c>
      <c r="O66" s="2" t="s">
        <v>15</v>
      </c>
      <c r="P66" s="5" t="s">
        <v>29</v>
      </c>
      <c r="Q66" s="5" t="s">
        <v>16</v>
      </c>
    </row>
    <row r="67" spans="2:17" x14ac:dyDescent="0.25">
      <c r="B67" s="1">
        <v>1</v>
      </c>
      <c r="C67" s="1">
        <v>101</v>
      </c>
      <c r="D67" s="1">
        <v>2</v>
      </c>
      <c r="G67" s="1">
        <v>1</v>
      </c>
      <c r="H67" s="1">
        <v>101</v>
      </c>
      <c r="I67" s="1" t="str" cm="1">
        <f t="array" ref="I67:J67">VLOOKUP(H67,Products!$B$4:$D$10,{2,3},0)</f>
        <v>Product A</v>
      </c>
      <c r="J67" s="1">
        <v>120</v>
      </c>
      <c r="K67" s="1">
        <f>VLOOKUP(H67,$C$4:$D$10,2,0)</f>
        <v>2</v>
      </c>
      <c r="L67" s="1">
        <f>J67*K67</f>
        <v>240</v>
      </c>
      <c r="O67" s="1" t="s">
        <v>4</v>
      </c>
      <c r="P67" s="1">
        <f>SUMIF(I67:I73,O67,K67:K73)</f>
        <v>9</v>
      </c>
      <c r="Q67" s="1">
        <f>SUMIF(I67:I73,O67,L67:L73)</f>
        <v>1350</v>
      </c>
    </row>
    <row r="68" spans="2:17" x14ac:dyDescent="0.25">
      <c r="B68" s="1">
        <v>2</v>
      </c>
      <c r="C68" s="1">
        <v>103</v>
      </c>
      <c r="D68" s="1">
        <v>1</v>
      </c>
      <c r="G68" s="1">
        <v>2</v>
      </c>
      <c r="H68" s="1">
        <v>103</v>
      </c>
      <c r="I68" s="1" t="str" cm="1">
        <f t="array" ref="I68:J68">VLOOKUP(H68,Products!$B$4:$D$10,{2,3},0)</f>
        <v>Product C</v>
      </c>
      <c r="J68" s="1">
        <v>200</v>
      </c>
      <c r="K68" s="1">
        <f t="shared" ref="K68:K72" si="4">VLOOKUP(H68,$C$4:$D$10,2,0)</f>
        <v>1</v>
      </c>
      <c r="L68" s="1">
        <f t="shared" ref="L68:L73" si="5">J68*K68</f>
        <v>200</v>
      </c>
    </row>
    <row r="69" spans="2:17" x14ac:dyDescent="0.25">
      <c r="B69" s="1">
        <v>3</v>
      </c>
      <c r="C69" s="1">
        <v>105</v>
      </c>
      <c r="D69" s="1">
        <v>4</v>
      </c>
      <c r="G69" s="1">
        <v>3</v>
      </c>
      <c r="H69" s="1">
        <v>105</v>
      </c>
      <c r="I69" s="1" t="str" cm="1">
        <f t="array" ref="I69:J69">VLOOKUP(H69,Products!$B$4:$D$10,{2,3},0)</f>
        <v>Product E</v>
      </c>
      <c r="J69" s="1">
        <v>220</v>
      </c>
      <c r="K69" s="1">
        <f t="shared" si="4"/>
        <v>4</v>
      </c>
      <c r="L69" s="1">
        <f t="shared" si="5"/>
        <v>880</v>
      </c>
    </row>
    <row r="70" spans="2:17" x14ac:dyDescent="0.25">
      <c r="B70" s="1">
        <v>4</v>
      </c>
      <c r="C70" s="1">
        <v>106</v>
      </c>
      <c r="D70" s="1">
        <v>3</v>
      </c>
      <c r="G70" s="1">
        <v>4</v>
      </c>
      <c r="H70" s="1">
        <v>106</v>
      </c>
      <c r="I70" s="1" t="str" cm="1">
        <f t="array" ref="I70:J70">VLOOKUP(H70,Products!$B$4:$D$10,{2,3},0)</f>
        <v>Product F</v>
      </c>
      <c r="J70" s="1">
        <v>130</v>
      </c>
      <c r="K70" s="1">
        <f t="shared" si="4"/>
        <v>3</v>
      </c>
      <c r="L70" s="1">
        <f t="shared" si="5"/>
        <v>390</v>
      </c>
    </row>
    <row r="71" spans="2:17" x14ac:dyDescent="0.25">
      <c r="B71" s="1">
        <v>5</v>
      </c>
      <c r="C71" s="1">
        <v>102</v>
      </c>
      <c r="D71" s="1">
        <v>5</v>
      </c>
      <c r="G71" s="1">
        <v>5</v>
      </c>
      <c r="H71" s="1">
        <v>102</v>
      </c>
      <c r="I71" s="1" t="str" cm="1">
        <f t="array" ref="I71:J71">VLOOKUP(H71,Products!$B$4:$D$10,{2,3},0)</f>
        <v>Product B</v>
      </c>
      <c r="J71" s="1">
        <v>150</v>
      </c>
      <c r="K71" s="1">
        <f t="shared" si="4"/>
        <v>5</v>
      </c>
      <c r="L71" s="1">
        <f t="shared" si="5"/>
        <v>750</v>
      </c>
    </row>
    <row r="72" spans="2:17" x14ac:dyDescent="0.25">
      <c r="B72" s="1">
        <v>6</v>
      </c>
      <c r="C72" s="1">
        <v>104</v>
      </c>
      <c r="D72" s="1">
        <v>6</v>
      </c>
      <c r="G72" s="1">
        <v>6</v>
      </c>
      <c r="H72" s="1">
        <v>104</v>
      </c>
      <c r="I72" s="1" t="str" cm="1">
        <f t="array" ref="I72:J72">VLOOKUP(H72,Products!$B$4:$D$10,{2,3},0)</f>
        <v>Product D</v>
      </c>
      <c r="J72" s="1">
        <v>90</v>
      </c>
      <c r="K72" s="1">
        <f t="shared" si="4"/>
        <v>6</v>
      </c>
      <c r="L72" s="1">
        <f t="shared" si="5"/>
        <v>540</v>
      </c>
    </row>
    <row r="73" spans="2:17" x14ac:dyDescent="0.25">
      <c r="B73" s="4">
        <v>7</v>
      </c>
      <c r="C73" s="4">
        <v>102</v>
      </c>
      <c r="D73" s="4">
        <v>4</v>
      </c>
      <c r="G73" s="4">
        <v>7</v>
      </c>
      <c r="H73" s="4">
        <v>102</v>
      </c>
      <c r="I73" s="1" t="str" cm="1">
        <f t="array" ref="I73:J73">VLOOKUP(H73,Products!$B$4:$D$10,{2,3},0)</f>
        <v>Product B</v>
      </c>
      <c r="J73" s="1">
        <v>150</v>
      </c>
      <c r="K73" s="1">
        <v>4</v>
      </c>
      <c r="L73" s="1">
        <f t="shared" si="5"/>
        <v>600</v>
      </c>
    </row>
  </sheetData>
  <mergeCells count="7">
    <mergeCell ref="G3:K3"/>
    <mergeCell ref="G65:L65"/>
    <mergeCell ref="G54:L54"/>
    <mergeCell ref="G44:O44"/>
    <mergeCell ref="G34:O34"/>
    <mergeCell ref="G23:N23"/>
    <mergeCell ref="G13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</dc:creator>
  <cp:lastModifiedBy>Kuntal Das</cp:lastModifiedBy>
  <dcterms:created xsi:type="dcterms:W3CDTF">2015-06-05T18:17:20Z</dcterms:created>
  <dcterms:modified xsi:type="dcterms:W3CDTF">2026-05-25T04:52:22Z</dcterms:modified>
</cp:coreProperties>
</file>