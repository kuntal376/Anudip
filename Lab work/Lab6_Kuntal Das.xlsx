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0E1BE7B7-9DA9-40AB-A9BA-64ED20242CBD}" xr6:coauthVersionLast="47" xr6:coauthVersionMax="47" xr10:uidLastSave="{00000000-0000-0000-0000-000000000000}"/>
  <bookViews>
    <workbookView xWindow="-120" yWindow="-120" windowWidth="20730" windowHeight="11160" xr2:uid="{7FA8765F-2945-4532-BA42-6C21BC1B51DE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1" l="1"/>
  <c r="Q36" i="1" a="1"/>
  <c r="Q36" i="1" s="1"/>
  <c r="Q41" i="1" a="1"/>
  <c r="Q41" i="1" s="1"/>
  <c r="Q31" i="1" a="1"/>
  <c r="Q31" i="1" s="1"/>
  <c r="M26" i="1"/>
  <c r="N26" i="1"/>
  <c r="O26" i="1"/>
  <c r="P26" i="1"/>
  <c r="L26" i="1"/>
  <c r="Q26" i="1" s="1"/>
  <c r="M25" i="1"/>
  <c r="N25" i="1"/>
  <c r="O25" i="1"/>
  <c r="P25" i="1"/>
  <c r="L25" i="1"/>
  <c r="Q25" i="1" s="1"/>
  <c r="M24" i="1"/>
  <c r="N24" i="1"/>
  <c r="O24" i="1"/>
  <c r="P24" i="1"/>
  <c r="L24" i="1"/>
  <c r="Q24" i="1" s="1"/>
  <c r="M23" i="1"/>
  <c r="N23" i="1"/>
  <c r="O23" i="1"/>
  <c r="P23" i="1"/>
  <c r="L23" i="1"/>
  <c r="Q23" i="1" s="1"/>
  <c r="M22" i="1"/>
  <c r="N22" i="1"/>
  <c r="O22" i="1"/>
  <c r="P22" i="1"/>
  <c r="L22" i="1"/>
  <c r="Q22" i="1" s="1"/>
  <c r="Q21" i="1"/>
  <c r="P21" i="1"/>
  <c r="M21" i="1"/>
  <c r="N21" i="1"/>
  <c r="O21" i="1"/>
  <c r="N15" i="1"/>
  <c r="N10" i="1" l="1"/>
  <c r="N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<sst xmlns="http://schemas.openxmlformats.org/spreadsheetml/2006/main" count="37" uniqueCount="26">
  <si>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</si>
  <si>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</si>
  <si>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</si>
  <si>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</si>
  <si>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</si>
  <si>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</si>
  <si>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</si>
  <si>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</si>
  <si>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</si>
  <si>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</si>
  <si>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</si>
  <si>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Worksheet</t>
  </si>
  <si>
    <t>1. Use HLOOKUP to find the sales for Product A in March.</t>
  </si>
  <si>
    <t>Sales for Product A in March:</t>
  </si>
  <si>
    <t>2. Use HLOOKUP to find the sales for Product D in May</t>
  </si>
  <si>
    <t>Sales for Product D in May:</t>
  </si>
  <si>
    <t>3. Use HLOOKUP to find the sales for Product C in February.</t>
  </si>
  <si>
    <t>Sales for Product C in February:</t>
  </si>
  <si>
    <t>4. Use HLOOKUP to find the sales for each month for a product, then calculate the total sales for that product.</t>
  </si>
  <si>
    <t>Total Sales</t>
  </si>
  <si>
    <t>5. Use HLOOKUP to find the maximum sales value for Product B across all months.</t>
  </si>
  <si>
    <t>Maximum Sales value for Product B across all months:</t>
  </si>
  <si>
    <t>6. Use HLOOKUP to find the minimum sales value for Product F across all months.</t>
  </si>
  <si>
    <t>Minimum Sales value for Product F across all months:</t>
  </si>
  <si>
    <t>7. Use HLOOKUP to find the average sales value for Product E across all months.</t>
  </si>
  <si>
    <t>Average Sales value for Product E across all months: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</si>
</sst>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5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1FFC-C605-45FC-BF2A-BB7149411041}">
  <dimension ref="B2:U41"/>
  <sheetViews>
    <sheetView tabSelected="1" workbookViewId="0">
      <selection activeCell="L22" sqref="L22"/>
    </sheetView>
  </sheetViews>
  <sheetFormatPr defaultRowHeight="15" x14ac:dyDescent="0.25"/>
  <cols>
    <col min="2" max="2" width="10.28515625" bestFit="1" customWidth="1"/>
    <col min="13" max="13" width="10.7109375" customWidth="1"/>
    <col min="14" max="14" width="7" customWidth="1"/>
    <col min="17" max="17" width="10.7109375" bestFit="1" customWidth="1"/>
  </cols>
  <sheetData>
    <row r="2" spans="2:16" x14ac:dyDescent="0.25">
      <c r="B2" s="2" t="s">
        <v>11</v>
      </c>
    </row>
    <row r="3" spans="2:16" x14ac:dyDescent="0.25">
      <c r="K3" s="9" t="s">
        <v>12</v>
      </c>
      <c r="L3" s="9"/>
      <c r="M3" s="9"/>
      <c r="N3" s="9"/>
      <c r="O3" s="9"/>
      <c r="P3" s="9"/>
    </row>
    <row r="4" spans="2:16" x14ac:dyDescent="0.25"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2:16" x14ac:dyDescent="0.25">
      <c r="B5" s="1" t="s">
        <v>5</v>
      </c>
      <c r="C5" s="1">
        <v>120</v>
      </c>
      <c r="D5" s="1">
        <v>130</v>
      </c>
      <c r="E5" s="1">
        <v>140</v>
      </c>
      <c r="F5" s="1">
        <v>150</v>
      </c>
      <c r="G5" s="1">
        <v>160</v>
      </c>
      <c r="K5" s="13" t="s">
        <v>13</v>
      </c>
      <c r="L5" s="13"/>
      <c r="M5" s="13"/>
      <c r="N5" s="1">
        <f>HLOOKUP("Mar",B4:G10,2,0)</f>
        <v>140</v>
      </c>
    </row>
    <row r="6" spans="2:16" x14ac:dyDescent="0.25">
      <c r="B6" s="1" t="s">
        <v>6</v>
      </c>
      <c r="C6" s="1">
        <v>150</v>
      </c>
      <c r="D6" s="1">
        <v>160</v>
      </c>
      <c r="E6" s="1">
        <v>170</v>
      </c>
      <c r="F6" s="1">
        <v>180</v>
      </c>
      <c r="G6" s="1">
        <v>190</v>
      </c>
    </row>
    <row r="7" spans="2:16" x14ac:dyDescent="0.25">
      <c r="B7" s="1" t="s">
        <v>7</v>
      </c>
      <c r="C7" s="1">
        <v>200</v>
      </c>
      <c r="D7" s="1">
        <v>210</v>
      </c>
      <c r="E7" s="1">
        <v>220</v>
      </c>
      <c r="F7" s="1">
        <v>230</v>
      </c>
      <c r="G7" s="1">
        <v>240</v>
      </c>
    </row>
    <row r="8" spans="2:16" x14ac:dyDescent="0.25">
      <c r="B8" s="1" t="s">
        <v>8</v>
      </c>
      <c r="C8" s="1">
        <v>90</v>
      </c>
      <c r="D8" s="1">
        <v>100</v>
      </c>
      <c r="E8" s="1">
        <v>110</v>
      </c>
      <c r="F8" s="1">
        <v>120</v>
      </c>
      <c r="G8" s="1">
        <v>130</v>
      </c>
      <c r="K8" s="9" t="s">
        <v>14</v>
      </c>
      <c r="L8" s="9"/>
      <c r="M8" s="9"/>
      <c r="N8" s="9"/>
      <c r="O8" s="9"/>
      <c r="P8" s="9"/>
    </row>
    <row r="9" spans="2:16" x14ac:dyDescent="0.25">
      <c r="B9" s="1" t="s">
        <v>9</v>
      </c>
      <c r="C9" s="1">
        <v>220</v>
      </c>
      <c r="D9" s="1">
        <v>230</v>
      </c>
      <c r="E9" s="1">
        <v>240</v>
      </c>
      <c r="F9" s="1">
        <v>250</v>
      </c>
      <c r="G9" s="1">
        <v>260</v>
      </c>
    </row>
    <row r="10" spans="2:16" x14ac:dyDescent="0.25">
      <c r="B10" s="1" t="s">
        <v>10</v>
      </c>
      <c r="C10" s="1">
        <v>130</v>
      </c>
      <c r="D10" s="1">
        <v>140</v>
      </c>
      <c r="E10" s="1">
        <v>150</v>
      </c>
      <c r="F10" s="1">
        <v>160</v>
      </c>
      <c r="G10" s="1">
        <v>170</v>
      </c>
      <c r="K10" s="6" t="s">
        <v>15</v>
      </c>
      <c r="L10" s="7"/>
      <c r="M10" s="8"/>
      <c r="N10" s="1">
        <f>HLOOKUP("May",B4:G10,5,0)</f>
        <v>130</v>
      </c>
    </row>
    <row r="13" spans="2:16" x14ac:dyDescent="0.25">
      <c r="K13" s="9" t="s">
        <v>16</v>
      </c>
      <c r="L13" s="9"/>
      <c r="M13" s="9"/>
      <c r="N13" s="9"/>
      <c r="O13" s="9"/>
      <c r="P13" s="9"/>
    </row>
    <row r="15" spans="2:16" x14ac:dyDescent="0.25">
      <c r="K15" s="13" t="s">
        <v>17</v>
      </c>
      <c r="L15" s="13"/>
      <c r="M15" s="13"/>
      <c r="N15" s="1">
        <f>HLOOKUP("Feb",B4:G10,4,0)</f>
        <v>210</v>
      </c>
    </row>
    <row r="18" spans="11:21" x14ac:dyDescent="0.25">
      <c r="K18" s="9" t="s">
        <v>18</v>
      </c>
      <c r="L18" s="9"/>
      <c r="M18" s="9"/>
      <c r="N18" s="9"/>
      <c r="O18" s="9"/>
      <c r="P18" s="9"/>
      <c r="Q18" s="9"/>
      <c r="R18" s="9"/>
      <c r="S18" s="9"/>
      <c r="T18" s="9"/>
      <c r="U18" s="9"/>
    </row>
    <row r="20" spans="11:21" x14ac:dyDescent="0.25">
      <c r="K20" s="3"/>
      <c r="L20" s="3" t="s">
        <v>0</v>
      </c>
      <c r="M20" s="3" t="s">
        <v>1</v>
      </c>
      <c r="N20" s="3" t="s">
        <v>2</v>
      </c>
      <c r="O20" s="3" t="s">
        <v>3</v>
      </c>
      <c r="P20" s="3" t="s">
        <v>4</v>
      </c>
      <c r="Q20" s="5" t="s">
        <v>19</v>
      </c>
    </row>
    <row r="21" spans="11:21" x14ac:dyDescent="0.25">
      <c r="K21" s="4" t="s">
        <v>5</v>
      </c>
      <c r="L21" s="1">
        <f>HLOOKUP(L20, $B$4:$G$10, 2, FALSE)</f>
        <v>120</v>
      </c>
      <c r="M21" s="1">
        <f t="shared" ref="M21:O21" si="0">HLOOKUP(M20, $B$4:$G$10, 2, FALSE)</f>
        <v>130</v>
      </c>
      <c r="N21" s="1">
        <f t="shared" si="0"/>
        <v>140</v>
      </c>
      <c r="O21" s="1">
        <f t="shared" si="0"/>
        <v>150</v>
      </c>
      <c r="P21" s="1">
        <f>HLOOKUP(P20, $B$4:$G$10, 2, FALSE)</f>
        <v>160</v>
      </c>
      <c r="Q21" s="1">
        <f>SUM(L21:P21)</f>
        <v>700</v>
      </c>
    </row>
    <row r="22" spans="11:21" x14ac:dyDescent="0.25">
      <c r="K22" s="4" t="s">
        <v>6</v>
      </c>
      <c r="L22" s="1">
        <f>HLOOKUP(L20,$B$4:$G$10,3,0)</f>
        <v>150</v>
      </c>
      <c r="M22" s="1">
        <f t="shared" ref="M22:P22" si="1">HLOOKUP(M20,$B$4:$G$10,3,0)</f>
        <v>160</v>
      </c>
      <c r="N22" s="1">
        <f t="shared" si="1"/>
        <v>170</v>
      </c>
      <c r="O22" s="1">
        <f t="shared" si="1"/>
        <v>180</v>
      </c>
      <c r="P22" s="1">
        <f t="shared" si="1"/>
        <v>190</v>
      </c>
      <c r="Q22" s="1">
        <f t="shared" ref="Q22:Q26" si="2">SUM(L22:P22)</f>
        <v>850</v>
      </c>
    </row>
    <row r="23" spans="11:21" x14ac:dyDescent="0.25">
      <c r="K23" s="4" t="s">
        <v>7</v>
      </c>
      <c r="L23" s="1">
        <f>HLOOKUP(L20,$B$4:$G$10,4,0)</f>
        <v>200</v>
      </c>
      <c r="M23" s="1">
        <f t="shared" ref="M23:P23" si="3">HLOOKUP(M20,$B$4:$G$10,4,0)</f>
        <v>210</v>
      </c>
      <c r="N23" s="1">
        <f t="shared" si="3"/>
        <v>220</v>
      </c>
      <c r="O23" s="1">
        <f t="shared" si="3"/>
        <v>230</v>
      </c>
      <c r="P23" s="1">
        <f t="shared" si="3"/>
        <v>240</v>
      </c>
      <c r="Q23" s="1">
        <f t="shared" si="2"/>
        <v>1100</v>
      </c>
    </row>
    <row r="24" spans="11:21" x14ac:dyDescent="0.25">
      <c r="K24" s="4" t="s">
        <v>8</v>
      </c>
      <c r="L24" s="1">
        <f>HLOOKUP(L20,$B$4:$G$10,5,0)</f>
        <v>90</v>
      </c>
      <c r="M24" s="1">
        <f t="shared" ref="M24:P24" si="4">HLOOKUP(M20,$B$4:$G$10,5,0)</f>
        <v>100</v>
      </c>
      <c r="N24" s="1">
        <f t="shared" si="4"/>
        <v>110</v>
      </c>
      <c r="O24" s="1">
        <f t="shared" si="4"/>
        <v>120</v>
      </c>
      <c r="P24" s="1">
        <f t="shared" si="4"/>
        <v>130</v>
      </c>
      <c r="Q24" s="1">
        <f t="shared" si="2"/>
        <v>550</v>
      </c>
    </row>
    <row r="25" spans="11:21" x14ac:dyDescent="0.25">
      <c r="K25" s="4" t="s">
        <v>9</v>
      </c>
      <c r="L25" s="1">
        <f>HLOOKUP(L20,$B$4:$G$10,6,0)</f>
        <v>220</v>
      </c>
      <c r="M25" s="1">
        <f t="shared" ref="M25:P25" si="5">HLOOKUP(M20,$B$4:$G$10,6,0)</f>
        <v>230</v>
      </c>
      <c r="N25" s="1">
        <f t="shared" si="5"/>
        <v>240</v>
      </c>
      <c r="O25" s="1">
        <f t="shared" si="5"/>
        <v>250</v>
      </c>
      <c r="P25" s="1">
        <f t="shared" si="5"/>
        <v>260</v>
      </c>
      <c r="Q25" s="1">
        <f t="shared" si="2"/>
        <v>1200</v>
      </c>
    </row>
    <row r="26" spans="11:21" x14ac:dyDescent="0.25">
      <c r="K26" s="4" t="s">
        <v>10</v>
      </c>
      <c r="L26" s="1">
        <f>HLOOKUP(L20,$B$4:$G$10,7,0)</f>
        <v>130</v>
      </c>
      <c r="M26" s="1">
        <f t="shared" ref="M26:P26" si="6">HLOOKUP(M20,$B$4:$G$10,7,0)</f>
        <v>140</v>
      </c>
      <c r="N26" s="1">
        <f t="shared" si="6"/>
        <v>150</v>
      </c>
      <c r="O26" s="1">
        <f t="shared" si="6"/>
        <v>160</v>
      </c>
      <c r="P26" s="1">
        <f t="shared" si="6"/>
        <v>170</v>
      </c>
      <c r="Q26" s="1">
        <f t="shared" si="2"/>
        <v>750</v>
      </c>
    </row>
    <row r="29" spans="11:21" x14ac:dyDescent="0.25">
      <c r="K29" s="9" t="s">
        <v>20</v>
      </c>
      <c r="L29" s="9"/>
      <c r="M29" s="9"/>
      <c r="N29" s="9"/>
      <c r="O29" s="9"/>
      <c r="P29" s="9"/>
      <c r="Q29" s="9"/>
      <c r="R29" s="9"/>
    </row>
    <row r="31" spans="11:21" x14ac:dyDescent="0.25">
      <c r="K31" s="6" t="s">
        <v>21</v>
      </c>
      <c r="L31" s="7"/>
      <c r="M31" s="7"/>
      <c r="N31" s="7"/>
      <c r="O31" s="7"/>
      <c r="P31" s="8"/>
      <c r="Q31" s="1" cm="1">
        <f t="array" ref="Q31">MAX(HLOOKUP(C4:G4,B4:G10,3,0))</f>
        <v>190</v>
      </c>
    </row>
    <row r="34" spans="11:18" x14ac:dyDescent="0.25">
      <c r="K34" s="10" t="s">
        <v>22</v>
      </c>
      <c r="L34" s="11"/>
      <c r="M34" s="11"/>
      <c r="N34" s="11"/>
      <c r="O34" s="11"/>
      <c r="P34" s="11"/>
      <c r="Q34" s="11"/>
      <c r="R34" s="12"/>
    </row>
    <row r="36" spans="11:18" x14ac:dyDescent="0.25">
      <c r="K36" s="6" t="s">
        <v>23</v>
      </c>
      <c r="L36" s="7"/>
      <c r="M36" s="7"/>
      <c r="N36" s="7"/>
      <c r="O36" s="7"/>
      <c r="P36" s="8"/>
      <c r="Q36" s="1" cm="1">
        <f t="array" ref="Q36">MIN(HLOOKUP(C4:G4,B4:G10,7,0))</f>
        <v>130</v>
      </c>
    </row>
    <row r="39" spans="11:18" x14ac:dyDescent="0.25">
      <c r="K39" s="10" t="s">
        <v>24</v>
      </c>
      <c r="L39" s="11"/>
      <c r="M39" s="11"/>
      <c r="N39" s="11"/>
      <c r="O39" s="11"/>
      <c r="P39" s="11"/>
      <c r="Q39" s="11"/>
      <c r="R39" s="12"/>
    </row>
    <row r="41" spans="11:18" x14ac:dyDescent="0.25">
      <c r="K41" s="6" t="s">
        <v>25</v>
      </c>
      <c r="L41" s="7"/>
      <c r="M41" s="7"/>
      <c r="N41" s="7"/>
      <c r="O41" s="7"/>
      <c r="P41" s="8"/>
      <c r="Q41" s="1" cm="1">
        <f t="array" ref="Q41">AVERAGE(HLOOKUP(C4:G4,B4:G10,6,0))</f>
        <v>240</v>
      </c>
    </row>
  </sheetData>
  <mergeCells count="13">
    <mergeCell ref="K18:U18"/>
    <mergeCell ref="K3:P3"/>
    <mergeCell ref="K5:M5"/>
    <mergeCell ref="K8:P8"/>
    <mergeCell ref="K10:M10"/>
    <mergeCell ref="K13:P13"/>
    <mergeCell ref="K15:M15"/>
    <mergeCell ref="K41:P41"/>
    <mergeCell ref="K29:R29"/>
    <mergeCell ref="K34:R34"/>
    <mergeCell ref="K31:P31"/>
    <mergeCell ref="K36:P36"/>
    <mergeCell ref="K39:R3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 Das</dc:creator>
  <cp:lastModifiedBy>Kuntal Das</cp:lastModifiedBy>
  <dcterms:created xsi:type="dcterms:W3CDTF">2026-05-21T17:53:51Z</dcterms:created>
  <dcterms:modified xsi:type="dcterms:W3CDTF">2026-05-22T14:45:30Z</dcterms:modified>
</cp:coreProperties>
</file>