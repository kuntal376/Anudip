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nudip Foundation\Domain\Classwork\"/>
    </mc:Choice>
  </mc:AlternateContent>
  <xr:revisionPtr revIDLastSave="0" documentId="13_ncr:1_{77321535-A59E-469E-B636-6170DD6C37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2" i="1" l="1"/>
  <c r="H116" i="1"/>
  <c r="H110" i="1"/>
  <c r="H104" i="1"/>
  <c r="J97" i="1"/>
  <c r="J91" i="1"/>
  <c r="J85" i="1"/>
  <c r="J79" i="1"/>
  <c r="J73" i="1"/>
  <c r="I66" i="1"/>
  <c r="I60" i="1"/>
  <c r="I54" i="1"/>
  <c r="I48" i="1"/>
  <c r="I42" i="1"/>
  <c r="I35" i="1"/>
  <c r="I29" i="1"/>
  <c r="I23" i="1"/>
  <c r="I17" i="1"/>
  <c r="I11" i="1"/>
  <c r="I5" i="1"/>
</calcChain>
</file>

<file path=xl/sharedStrings.xml><?xml version="1.0" encoding="utf-8"?>
<sst xmlns="http://schemas.openxmlformats.org/spreadsheetml/2006/main" count="165" uniqueCount="95">
  <si>
    <t>Emp ID</t>
  </si>
  <si>
    <t>Name</t>
  </si>
  <si>
    <t>Department</t>
  </si>
  <si>
    <t>Salary</t>
  </si>
  <si>
    <t>City</t>
  </si>
  <si>
    <t>E101</t>
  </si>
  <si>
    <t xml:space="preserve">Amit </t>
  </si>
  <si>
    <t>HR</t>
  </si>
  <si>
    <t>Delhi</t>
  </si>
  <si>
    <t>1.Find the Name of employee with Emp ID E104 using VLOOKUP.</t>
  </si>
  <si>
    <t>E102</t>
  </si>
  <si>
    <t>Neha</t>
  </si>
  <si>
    <t>IT</t>
  </si>
  <si>
    <t>Mumbai</t>
  </si>
  <si>
    <t>E103</t>
  </si>
  <si>
    <t>Rahul</t>
  </si>
  <si>
    <t>Finance</t>
  </si>
  <si>
    <t>Kolkata</t>
  </si>
  <si>
    <t>E104</t>
  </si>
  <si>
    <t>Priya</t>
  </si>
  <si>
    <t>Bangalore</t>
  </si>
  <si>
    <t>E105</t>
  </si>
  <si>
    <t>Arjun</t>
  </si>
  <si>
    <t>Marketing</t>
  </si>
  <si>
    <t>Pune</t>
  </si>
  <si>
    <t>E106</t>
  </si>
  <si>
    <t>Riya</t>
  </si>
  <si>
    <t>E107</t>
  </si>
  <si>
    <t>Karan</t>
  </si>
  <si>
    <t>2. Find the Department of employee E103</t>
  </si>
  <si>
    <t>E108</t>
  </si>
  <si>
    <t>Sneha</t>
  </si>
  <si>
    <t>Chennai</t>
  </si>
  <si>
    <t>3. Find the Salary of employee E108</t>
  </si>
  <si>
    <t>4.Find the City of employee E105</t>
  </si>
  <si>
    <t>5. If Emp ID is entered in any cell, retrieve the Salary automatically.</t>
  </si>
  <si>
    <t>6. If Emp ID is entered in any cell, retrieve the Department.</t>
  </si>
  <si>
    <t>Student ID</t>
  </si>
  <si>
    <t>Maths</t>
  </si>
  <si>
    <t>Science</t>
  </si>
  <si>
    <t>English</t>
  </si>
  <si>
    <t>1. Find Maths marks of S103</t>
  </si>
  <si>
    <t>S101</t>
  </si>
  <si>
    <t>Asha</t>
  </si>
  <si>
    <t>S102</t>
  </si>
  <si>
    <t>Ravi</t>
  </si>
  <si>
    <t>S103</t>
  </si>
  <si>
    <t>Meena</t>
  </si>
  <si>
    <t>S104</t>
  </si>
  <si>
    <t>S105</t>
  </si>
  <si>
    <t>Kiran</t>
  </si>
  <si>
    <t>2. Find Science marks of S102</t>
  </si>
  <si>
    <t>3. Find English marks of S105</t>
  </si>
  <si>
    <t>4. If Student ID is entered in any cell, return the Name</t>
  </si>
  <si>
    <t>5. Retrieve Science marks dynamically using Student ID in any cell</t>
  </si>
  <si>
    <t>Product ID</t>
  </si>
  <si>
    <t>P101</t>
  </si>
  <si>
    <t>P102</t>
  </si>
  <si>
    <t>P103</t>
  </si>
  <si>
    <t>P104</t>
  </si>
  <si>
    <t>P105</t>
  </si>
  <si>
    <t>1. Find the Price of Product P103 using HLOOKUP.</t>
  </si>
  <si>
    <t>Product Name</t>
  </si>
  <si>
    <t>Laptop</t>
  </si>
  <si>
    <t>Mouse</t>
  </si>
  <si>
    <t>Keyboard</t>
  </si>
  <si>
    <t>Monitor</t>
  </si>
  <si>
    <t>Printer</t>
  </si>
  <si>
    <t>Price</t>
  </si>
  <si>
    <t>Stock</t>
  </si>
  <si>
    <t>2. Find the Stock of P104</t>
  </si>
  <si>
    <t>3. Retrive Product Name of P101</t>
  </si>
  <si>
    <t>4. If Product ID is entered in any cell, return the Price</t>
  </si>
  <si>
    <t>5. If Product ID is entered in any cell, return the Stock</t>
  </si>
  <si>
    <t>ID</t>
  </si>
  <si>
    <t>Course</t>
  </si>
  <si>
    <t>Fees</t>
  </si>
  <si>
    <t>1. Retrieve Course Name for C103</t>
  </si>
  <si>
    <t>C101</t>
  </si>
  <si>
    <t xml:space="preserve">Rohan </t>
  </si>
  <si>
    <t>Excel</t>
  </si>
  <si>
    <t>C102</t>
  </si>
  <si>
    <t>Ananya</t>
  </si>
  <si>
    <t>Power-BI</t>
  </si>
  <si>
    <t>C103</t>
  </si>
  <si>
    <t>Vikram</t>
  </si>
  <si>
    <t>SQL</t>
  </si>
  <si>
    <t>C104</t>
  </si>
  <si>
    <t>Python</t>
  </si>
  <si>
    <t>C105</t>
  </si>
  <si>
    <t>Aman</t>
  </si>
  <si>
    <t>Tableau</t>
  </si>
  <si>
    <t>2. Retrieve Fees for C104</t>
  </si>
  <si>
    <t>3. If Course ID entered in any cell, display Name</t>
  </si>
  <si>
    <t>4. If Course ID entered in any cell, display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</si>
</sst>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0" xfId="0" applyFont="1" applyFill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"/>
  <sheetViews>
    <sheetView tabSelected="1" workbookViewId="0">
      <selection activeCell="I17" sqref="I17"/>
    </sheetView>
  </sheetViews>
  <sheetFormatPr defaultRowHeight="15" x14ac:dyDescent="0.25"/>
  <cols>
    <col min="1" max="1" width="13.7109375" bestFit="1" customWidth="1"/>
    <col min="2" max="2" width="7.5703125" bestFit="1" customWidth="1"/>
    <col min="3" max="3" width="11.7109375" bestFit="1" customWidth="1"/>
    <col min="4" max="4" width="10.85546875" customWidth="1"/>
    <col min="5" max="5" width="13" customWidth="1"/>
    <col min="8" max="8" width="10.28515625" bestFit="1" customWidth="1"/>
    <col min="9" max="9" width="11.7109375" bestFit="1" customWidth="1"/>
    <col min="10" max="10" width="13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4" x14ac:dyDescent="0.25">
      <c r="A2" s="2" t="s">
        <v>5</v>
      </c>
      <c r="B2" s="2" t="s">
        <v>6</v>
      </c>
      <c r="C2" s="2" t="s">
        <v>7</v>
      </c>
      <c r="D2" s="2">
        <v>35000</v>
      </c>
      <c r="E2" s="2" t="s">
        <v>8</v>
      </c>
      <c r="H2" s="3" t="s">
        <v>9</v>
      </c>
      <c r="I2" s="3"/>
      <c r="J2" s="3"/>
      <c r="K2" s="3"/>
      <c r="L2" s="3"/>
      <c r="M2" s="3"/>
      <c r="N2" s="4"/>
    </row>
    <row r="3" spans="1:14" x14ac:dyDescent="0.25">
      <c r="A3" s="2" t="s">
        <v>10</v>
      </c>
      <c r="B3" s="2" t="s">
        <v>11</v>
      </c>
      <c r="C3" s="2" t="s">
        <v>12</v>
      </c>
      <c r="D3" s="2">
        <v>50000</v>
      </c>
      <c r="E3" s="2" t="s">
        <v>13</v>
      </c>
    </row>
    <row r="4" spans="1:14" x14ac:dyDescent="0.25">
      <c r="A4" s="2" t="s">
        <v>14</v>
      </c>
      <c r="B4" s="2" t="s">
        <v>15</v>
      </c>
      <c r="C4" s="2" t="s">
        <v>16</v>
      </c>
      <c r="D4" s="2">
        <v>45000</v>
      </c>
      <c r="E4" s="2" t="s">
        <v>17</v>
      </c>
      <c r="H4" s="1" t="s">
        <v>0</v>
      </c>
      <c r="I4" s="1" t="s">
        <v>1</v>
      </c>
    </row>
    <row r="5" spans="1:14" x14ac:dyDescent="0.25">
      <c r="A5" s="2" t="s">
        <v>18</v>
      </c>
      <c r="B5" s="2" t="s">
        <v>19</v>
      </c>
      <c r="C5" s="2" t="s">
        <v>12</v>
      </c>
      <c r="D5" s="2">
        <v>52000</v>
      </c>
      <c r="E5" s="2" t="s">
        <v>20</v>
      </c>
      <c r="H5" s="2" t="s">
        <v>18</v>
      </c>
      <c r="I5" s="2" t="str">
        <f>VLOOKUP(H5,A1:E9,2,0)</f>
        <v>Priya</v>
      </c>
    </row>
    <row r="6" spans="1:14" x14ac:dyDescent="0.25">
      <c r="A6" s="2" t="s">
        <v>21</v>
      </c>
      <c r="B6" s="2" t="s">
        <v>22</v>
      </c>
      <c r="C6" s="2" t="s">
        <v>23</v>
      </c>
      <c r="D6" s="2">
        <v>40000</v>
      </c>
      <c r="E6" s="2" t="s">
        <v>24</v>
      </c>
    </row>
    <row r="7" spans="1:14" x14ac:dyDescent="0.25">
      <c r="A7" s="2" t="s">
        <v>25</v>
      </c>
      <c r="B7" s="2" t="s">
        <v>26</v>
      </c>
      <c r="C7" s="2" t="s">
        <v>7</v>
      </c>
      <c r="D7" s="2">
        <v>36000</v>
      </c>
      <c r="E7" s="2" t="s">
        <v>8</v>
      </c>
    </row>
    <row r="8" spans="1:14" x14ac:dyDescent="0.25">
      <c r="A8" s="2" t="s">
        <v>27</v>
      </c>
      <c r="B8" s="2" t="s">
        <v>28</v>
      </c>
      <c r="C8" s="2" t="s">
        <v>16</v>
      </c>
      <c r="D8" s="2">
        <v>47000</v>
      </c>
      <c r="E8" s="2" t="s">
        <v>13</v>
      </c>
      <c r="H8" s="5" t="s">
        <v>29</v>
      </c>
      <c r="I8" s="6"/>
      <c r="J8" s="6"/>
      <c r="K8" s="6"/>
      <c r="L8" s="7"/>
    </row>
    <row r="9" spans="1:14" x14ac:dyDescent="0.25">
      <c r="A9" s="2" t="s">
        <v>30</v>
      </c>
      <c r="B9" s="2" t="s">
        <v>31</v>
      </c>
      <c r="C9" s="2" t="s">
        <v>23</v>
      </c>
      <c r="D9" s="2">
        <v>42000</v>
      </c>
      <c r="E9" s="2" t="s">
        <v>32</v>
      </c>
    </row>
    <row r="10" spans="1:14" x14ac:dyDescent="0.25">
      <c r="H10" s="1" t="s">
        <v>0</v>
      </c>
      <c r="I10" s="1" t="s">
        <v>2</v>
      </c>
    </row>
    <row r="11" spans="1:14" x14ac:dyDescent="0.25">
      <c r="H11" s="2" t="s">
        <v>14</v>
      </c>
      <c r="I11" s="2" t="str">
        <f>VLOOKUP(H11,A1:E9,3,0)</f>
        <v>Finance</v>
      </c>
    </row>
    <row r="14" spans="1:14" x14ac:dyDescent="0.25">
      <c r="H14" s="5" t="s">
        <v>33</v>
      </c>
      <c r="I14" s="6"/>
      <c r="J14" s="6"/>
      <c r="K14" s="7"/>
    </row>
    <row r="16" spans="1:14" x14ac:dyDescent="0.25">
      <c r="H16" s="1" t="s">
        <v>0</v>
      </c>
      <c r="I16" s="1" t="s">
        <v>3</v>
      </c>
    </row>
    <row r="17" spans="8:14" x14ac:dyDescent="0.25">
      <c r="H17" s="2" t="s">
        <v>30</v>
      </c>
      <c r="I17" s="2">
        <f>VLOOKUP(H17,A1:E9,4,0)</f>
        <v>42000</v>
      </c>
    </row>
    <row r="20" spans="8:14" x14ac:dyDescent="0.25">
      <c r="H20" s="5" t="s">
        <v>34</v>
      </c>
      <c r="I20" s="6"/>
      <c r="J20" s="7"/>
    </row>
    <row r="22" spans="8:14" x14ac:dyDescent="0.25">
      <c r="H22" s="1" t="s">
        <v>0</v>
      </c>
      <c r="I22" s="1" t="s">
        <v>4</v>
      </c>
    </row>
    <row r="23" spans="8:14" x14ac:dyDescent="0.25">
      <c r="H23" s="2" t="s">
        <v>21</v>
      </c>
      <c r="I23" s="2" t="str">
        <f>VLOOKUP(H23,A1:E9,5,0)</f>
        <v>Pune</v>
      </c>
    </row>
    <row r="26" spans="8:14" x14ac:dyDescent="0.25">
      <c r="H26" s="3" t="s">
        <v>35</v>
      </c>
      <c r="I26" s="3"/>
      <c r="J26" s="3"/>
      <c r="K26" s="3"/>
      <c r="L26" s="3"/>
      <c r="M26" s="3"/>
      <c r="N26" s="3"/>
    </row>
    <row r="28" spans="8:14" x14ac:dyDescent="0.25">
      <c r="H28" s="1" t="s">
        <v>0</v>
      </c>
      <c r="I28" s="1" t="s">
        <v>3</v>
      </c>
    </row>
    <row r="29" spans="8:14" x14ac:dyDescent="0.25">
      <c r="H29" s="2" t="s">
        <v>27</v>
      </c>
      <c r="I29" s="2">
        <f>VLOOKUP(H29,A1:E9,4,0)</f>
        <v>47000</v>
      </c>
    </row>
    <row r="32" spans="8:14" x14ac:dyDescent="0.25">
      <c r="H32" s="3" t="s">
        <v>36</v>
      </c>
      <c r="I32" s="3"/>
      <c r="J32" s="3"/>
      <c r="K32" s="3"/>
      <c r="L32" s="3"/>
      <c r="M32" s="3"/>
    </row>
    <row r="34" spans="1:10" x14ac:dyDescent="0.25">
      <c r="H34" s="1" t="s">
        <v>0</v>
      </c>
      <c r="I34" s="1" t="s">
        <v>2</v>
      </c>
    </row>
    <row r="35" spans="1:10" x14ac:dyDescent="0.25">
      <c r="H35" s="2" t="s">
        <v>25</v>
      </c>
      <c r="I35" s="2" t="str">
        <f>VLOOKUP(H35,A1:E9,3,0)</f>
        <v>HR</v>
      </c>
    </row>
    <row r="39" spans="1:10" x14ac:dyDescent="0.25">
      <c r="A39" s="1" t="s">
        <v>37</v>
      </c>
      <c r="B39" s="1" t="s">
        <v>1</v>
      </c>
      <c r="C39" s="1" t="s">
        <v>38</v>
      </c>
      <c r="D39" s="1" t="s">
        <v>39</v>
      </c>
      <c r="E39" s="1" t="s">
        <v>40</v>
      </c>
      <c r="H39" s="5" t="s">
        <v>41</v>
      </c>
      <c r="I39" s="6"/>
      <c r="J39" s="7"/>
    </row>
    <row r="40" spans="1:10" x14ac:dyDescent="0.25">
      <c r="A40" s="2" t="s">
        <v>42</v>
      </c>
      <c r="B40" s="2" t="s">
        <v>43</v>
      </c>
      <c r="C40" s="2">
        <v>78</v>
      </c>
      <c r="D40" s="2">
        <v>82</v>
      </c>
      <c r="E40" s="2">
        <v>74</v>
      </c>
    </row>
    <row r="41" spans="1:10" x14ac:dyDescent="0.25">
      <c r="A41" s="2" t="s">
        <v>44</v>
      </c>
      <c r="B41" s="2" t="s">
        <v>45</v>
      </c>
      <c r="C41" s="2">
        <v>65</v>
      </c>
      <c r="D41" s="2">
        <v>70</v>
      </c>
      <c r="E41" s="2">
        <v>68</v>
      </c>
      <c r="H41" s="1" t="s">
        <v>37</v>
      </c>
      <c r="I41" s="1" t="s">
        <v>38</v>
      </c>
    </row>
    <row r="42" spans="1:10" x14ac:dyDescent="0.25">
      <c r="A42" s="2" t="s">
        <v>46</v>
      </c>
      <c r="B42" s="2" t="s">
        <v>47</v>
      </c>
      <c r="C42" s="2">
        <v>88</v>
      </c>
      <c r="D42" s="2">
        <v>91</v>
      </c>
      <c r="E42" s="2">
        <v>85</v>
      </c>
      <c r="H42" s="2" t="s">
        <v>46</v>
      </c>
      <c r="I42" s="2">
        <f>VLOOKUP(H42,A39:E44,3,0)</f>
        <v>88</v>
      </c>
    </row>
    <row r="43" spans="1:10" x14ac:dyDescent="0.25">
      <c r="A43" s="2" t="s">
        <v>48</v>
      </c>
      <c r="B43" s="2" t="s">
        <v>22</v>
      </c>
      <c r="C43" s="2">
        <v>72</v>
      </c>
      <c r="D43" s="2">
        <v>75</v>
      </c>
      <c r="E43" s="2">
        <v>70</v>
      </c>
    </row>
    <row r="44" spans="1:10" x14ac:dyDescent="0.25">
      <c r="A44" s="2" t="s">
        <v>49</v>
      </c>
      <c r="B44" s="2" t="s">
        <v>50</v>
      </c>
      <c r="C44" s="2">
        <v>90</v>
      </c>
      <c r="D44" s="2">
        <v>93</v>
      </c>
      <c r="E44" s="2">
        <v>89</v>
      </c>
    </row>
    <row r="45" spans="1:10" x14ac:dyDescent="0.25">
      <c r="H45" s="5" t="s">
        <v>51</v>
      </c>
      <c r="I45" s="6"/>
      <c r="J45" s="7"/>
    </row>
    <row r="47" spans="1:10" x14ac:dyDescent="0.25">
      <c r="H47" s="1" t="s">
        <v>37</v>
      </c>
      <c r="I47" s="1" t="s">
        <v>39</v>
      </c>
    </row>
    <row r="48" spans="1:10" x14ac:dyDescent="0.25">
      <c r="H48" s="2" t="s">
        <v>44</v>
      </c>
      <c r="I48" s="2">
        <f>VLOOKUP(H48,A39:E44,4,0)</f>
        <v>70</v>
      </c>
    </row>
    <row r="51" spans="8:13" x14ac:dyDescent="0.25">
      <c r="H51" s="5" t="s">
        <v>52</v>
      </c>
      <c r="I51" s="6"/>
      <c r="J51" s="7"/>
    </row>
    <row r="53" spans="8:13" x14ac:dyDescent="0.25">
      <c r="H53" s="1" t="s">
        <v>37</v>
      </c>
      <c r="I53" s="1" t="s">
        <v>40</v>
      </c>
    </row>
    <row r="54" spans="8:13" x14ac:dyDescent="0.25">
      <c r="H54" s="2" t="s">
        <v>49</v>
      </c>
      <c r="I54" s="2">
        <f>VLOOKUP(H54,A39:E44,5,0)</f>
        <v>89</v>
      </c>
    </row>
    <row r="57" spans="8:13" x14ac:dyDescent="0.25">
      <c r="H57" s="5" t="s">
        <v>53</v>
      </c>
      <c r="I57" s="6"/>
      <c r="J57" s="6"/>
      <c r="K57" s="6"/>
      <c r="L57" s="7"/>
    </row>
    <row r="59" spans="8:13" x14ac:dyDescent="0.25">
      <c r="H59" s="1" t="s">
        <v>37</v>
      </c>
      <c r="I59" s="1" t="s">
        <v>1</v>
      </c>
    </row>
    <row r="60" spans="8:13" x14ac:dyDescent="0.25">
      <c r="H60" s="2" t="s">
        <v>48</v>
      </c>
      <c r="I60" s="2" t="str">
        <f>VLOOKUP(H60,A39:E44,2,0)</f>
        <v>Arjun</v>
      </c>
    </row>
    <row r="63" spans="8:13" x14ac:dyDescent="0.25">
      <c r="H63" s="5" t="s">
        <v>54</v>
      </c>
      <c r="I63" s="6"/>
      <c r="J63" s="6"/>
      <c r="K63" s="6"/>
      <c r="L63" s="6"/>
      <c r="M63" s="7"/>
    </row>
    <row r="65" spans="1:13" x14ac:dyDescent="0.25">
      <c r="H65" s="1" t="s">
        <v>37</v>
      </c>
      <c r="I65" s="1" t="s">
        <v>39</v>
      </c>
    </row>
    <row r="66" spans="1:13" x14ac:dyDescent="0.25">
      <c r="H66" s="2" t="s">
        <v>42</v>
      </c>
      <c r="I66" s="2">
        <f>VLOOKUP(H66,A39:E44,4,0)</f>
        <v>82</v>
      </c>
    </row>
    <row r="70" spans="1:13" x14ac:dyDescent="0.25">
      <c r="A70" s="1" t="s">
        <v>55</v>
      </c>
      <c r="B70" s="2" t="s">
        <v>56</v>
      </c>
      <c r="C70" s="2" t="s">
        <v>57</v>
      </c>
      <c r="D70" s="2" t="s">
        <v>58</v>
      </c>
      <c r="E70" s="2" t="s">
        <v>59</v>
      </c>
      <c r="F70" s="2" t="s">
        <v>60</v>
      </c>
      <c r="I70" s="3" t="s">
        <v>61</v>
      </c>
      <c r="J70" s="3"/>
      <c r="K70" s="3"/>
      <c r="L70" s="3"/>
      <c r="M70" s="3"/>
    </row>
    <row r="71" spans="1:13" x14ac:dyDescent="0.25">
      <c r="A71" s="1" t="s">
        <v>62</v>
      </c>
      <c r="B71" s="2" t="s">
        <v>63</v>
      </c>
      <c r="C71" s="2" t="s">
        <v>64</v>
      </c>
      <c r="D71" s="2" t="s">
        <v>65</v>
      </c>
      <c r="E71" s="2" t="s">
        <v>66</v>
      </c>
      <c r="F71" s="2" t="s">
        <v>67</v>
      </c>
    </row>
    <row r="72" spans="1:13" x14ac:dyDescent="0.25">
      <c r="A72" s="1" t="s">
        <v>68</v>
      </c>
      <c r="B72" s="2">
        <v>55000</v>
      </c>
      <c r="C72" s="2">
        <v>500</v>
      </c>
      <c r="D72" s="2">
        <v>1200</v>
      </c>
      <c r="E72" s="2">
        <v>9000</v>
      </c>
      <c r="F72" s="2">
        <v>7000</v>
      </c>
      <c r="I72" s="1" t="s">
        <v>55</v>
      </c>
      <c r="J72" s="1" t="s">
        <v>68</v>
      </c>
    </row>
    <row r="73" spans="1:13" x14ac:dyDescent="0.25">
      <c r="A73" s="1" t="s">
        <v>69</v>
      </c>
      <c r="B73" s="2">
        <v>25</v>
      </c>
      <c r="C73" s="2">
        <v>150</v>
      </c>
      <c r="D73" s="2">
        <v>80</v>
      </c>
      <c r="E73" s="2">
        <v>40</v>
      </c>
      <c r="F73" s="2">
        <v>35</v>
      </c>
      <c r="I73" s="2" t="s">
        <v>58</v>
      </c>
      <c r="J73" s="2">
        <f>HLOOKUP(I73,A70:F73,3,0)</f>
        <v>1200</v>
      </c>
    </row>
    <row r="76" spans="1:13" x14ac:dyDescent="0.25">
      <c r="I76" s="5" t="s">
        <v>70</v>
      </c>
      <c r="J76" s="6"/>
      <c r="K76" s="7"/>
    </row>
    <row r="78" spans="1:13" x14ac:dyDescent="0.25">
      <c r="I78" s="1" t="s">
        <v>55</v>
      </c>
      <c r="J78" s="1" t="s">
        <v>69</v>
      </c>
    </row>
    <row r="79" spans="1:13" x14ac:dyDescent="0.25">
      <c r="I79" s="2" t="s">
        <v>59</v>
      </c>
      <c r="J79" s="2">
        <f>HLOOKUP(I79,A70:F73,4,0)</f>
        <v>40</v>
      </c>
    </row>
    <row r="82" spans="9:13" x14ac:dyDescent="0.25">
      <c r="I82" s="5" t="s">
        <v>71</v>
      </c>
      <c r="J82" s="6"/>
      <c r="K82" s="7"/>
    </row>
    <row r="84" spans="9:13" x14ac:dyDescent="0.25">
      <c r="I84" s="1" t="s">
        <v>55</v>
      </c>
      <c r="J84" s="1" t="s">
        <v>62</v>
      </c>
    </row>
    <row r="85" spans="9:13" x14ac:dyDescent="0.25">
      <c r="I85" s="2" t="s">
        <v>56</v>
      </c>
      <c r="J85" s="2" t="str">
        <f>HLOOKUP(I85,A70:F73,2,0)</f>
        <v>Laptop</v>
      </c>
    </row>
    <row r="88" spans="9:13" x14ac:dyDescent="0.25">
      <c r="I88" s="3" t="s">
        <v>72</v>
      </c>
      <c r="J88" s="3"/>
      <c r="K88" s="3"/>
      <c r="L88" s="3"/>
      <c r="M88" s="3"/>
    </row>
    <row r="90" spans="9:13" x14ac:dyDescent="0.25">
      <c r="I90" s="1" t="s">
        <v>55</v>
      </c>
      <c r="J90" s="1" t="s">
        <v>68</v>
      </c>
    </row>
    <row r="91" spans="9:13" x14ac:dyDescent="0.25">
      <c r="I91" s="2" t="s">
        <v>60</v>
      </c>
      <c r="J91" s="2">
        <f>HLOOKUP(I91,A70:F73,3,0)</f>
        <v>7000</v>
      </c>
    </row>
    <row r="94" spans="9:13" x14ac:dyDescent="0.25">
      <c r="I94" s="3" t="s">
        <v>73</v>
      </c>
      <c r="J94" s="3"/>
      <c r="K94" s="3"/>
      <c r="L94" s="3"/>
      <c r="M94" s="3"/>
    </row>
    <row r="96" spans="9:13" x14ac:dyDescent="0.25">
      <c r="I96" s="1" t="s">
        <v>55</v>
      </c>
      <c r="J96" s="1" t="s">
        <v>69</v>
      </c>
    </row>
    <row r="97" spans="1:10" x14ac:dyDescent="0.25">
      <c r="I97" s="2" t="s">
        <v>60</v>
      </c>
      <c r="J97" s="2">
        <f>HLOOKUP(I97,A70:F73,4,0)</f>
        <v>35</v>
      </c>
    </row>
    <row r="101" spans="1:10" x14ac:dyDescent="0.25">
      <c r="A101" s="1" t="s">
        <v>74</v>
      </c>
      <c r="B101" s="1" t="s">
        <v>1</v>
      </c>
      <c r="C101" s="1" t="s">
        <v>75</v>
      </c>
      <c r="D101" s="1" t="s">
        <v>76</v>
      </c>
      <c r="G101" s="5" t="s">
        <v>77</v>
      </c>
      <c r="H101" s="6"/>
      <c r="I101" s="7"/>
    </row>
    <row r="102" spans="1:10" x14ac:dyDescent="0.25">
      <c r="A102" s="2" t="s">
        <v>78</v>
      </c>
      <c r="B102" s="2" t="s">
        <v>79</v>
      </c>
      <c r="C102" s="2" t="s">
        <v>80</v>
      </c>
      <c r="D102" s="2">
        <v>3000</v>
      </c>
    </row>
    <row r="103" spans="1:10" x14ac:dyDescent="0.25">
      <c r="A103" s="2" t="s">
        <v>81</v>
      </c>
      <c r="B103" s="2" t="s">
        <v>82</v>
      </c>
      <c r="C103" s="2" t="s">
        <v>83</v>
      </c>
      <c r="D103" s="2">
        <v>5000</v>
      </c>
      <c r="G103" s="1" t="s">
        <v>74</v>
      </c>
      <c r="H103" s="1" t="s">
        <v>75</v>
      </c>
    </row>
    <row r="104" spans="1:10" x14ac:dyDescent="0.25">
      <c r="A104" s="2" t="s">
        <v>84</v>
      </c>
      <c r="B104" s="2" t="s">
        <v>85</v>
      </c>
      <c r="C104" s="2" t="s">
        <v>86</v>
      </c>
      <c r="D104" s="2">
        <v>4000</v>
      </c>
      <c r="G104" s="2" t="s">
        <v>84</v>
      </c>
      <c r="H104" s="2" t="str">
        <f>VLOOKUP(G104,A101:D106,3,0)</f>
        <v>SQL</v>
      </c>
    </row>
    <row r="105" spans="1:10" x14ac:dyDescent="0.25">
      <c r="A105" s="2" t="s">
        <v>87</v>
      </c>
      <c r="B105" s="2" t="s">
        <v>11</v>
      </c>
      <c r="C105" s="2" t="s">
        <v>88</v>
      </c>
      <c r="D105" s="2">
        <v>6000</v>
      </c>
    </row>
    <row r="106" spans="1:10" x14ac:dyDescent="0.25">
      <c r="A106" s="2" t="s">
        <v>89</v>
      </c>
      <c r="B106" s="2" t="s">
        <v>90</v>
      </c>
      <c r="C106" s="2" t="s">
        <v>91</v>
      </c>
      <c r="D106" s="2">
        <v>4500</v>
      </c>
    </row>
    <row r="107" spans="1:10" x14ac:dyDescent="0.25">
      <c r="G107" s="3" t="s">
        <v>92</v>
      </c>
      <c r="H107" s="3"/>
      <c r="I107" s="3"/>
    </row>
    <row r="109" spans="1:10" x14ac:dyDescent="0.25">
      <c r="G109" s="1" t="s">
        <v>74</v>
      </c>
      <c r="H109" s="1" t="s">
        <v>76</v>
      </c>
    </row>
    <row r="110" spans="1:10" x14ac:dyDescent="0.25">
      <c r="G110" s="2" t="s">
        <v>87</v>
      </c>
      <c r="H110" s="2">
        <f>VLOOKUP(G110,A101:D106,4,0)</f>
        <v>6000</v>
      </c>
    </row>
    <row r="113" spans="7:10" x14ac:dyDescent="0.25">
      <c r="G113" s="5" t="s">
        <v>93</v>
      </c>
      <c r="H113" s="6"/>
      <c r="I113" s="6"/>
      <c r="J113" s="7"/>
    </row>
    <row r="115" spans="7:10" x14ac:dyDescent="0.25">
      <c r="G115" s="1" t="s">
        <v>74</v>
      </c>
      <c r="H115" s="1" t="s">
        <v>1</v>
      </c>
    </row>
    <row r="116" spans="7:10" x14ac:dyDescent="0.25">
      <c r="G116" s="2" t="s">
        <v>78</v>
      </c>
      <c r="H116" s="2" t="str">
        <f>VLOOKUP(G116,A101:D106,2,0)</f>
        <v xml:space="preserve">Rohan </v>
      </c>
    </row>
    <row r="119" spans="7:10" x14ac:dyDescent="0.25">
      <c r="G119" s="3" t="s">
        <v>94</v>
      </c>
      <c r="H119" s="3"/>
      <c r="I119" s="3"/>
      <c r="J119" s="3"/>
    </row>
    <row r="121" spans="7:10" x14ac:dyDescent="0.25">
      <c r="G121" s="1" t="s">
        <v>74</v>
      </c>
      <c r="H121" s="1" t="s">
        <v>76</v>
      </c>
    </row>
    <row r="122" spans="7:10" x14ac:dyDescent="0.25">
      <c r="G122" s="2" t="s">
        <v>81</v>
      </c>
      <c r="H122" s="2">
        <f>VLOOKUP(G122,A101:D106,4,0)</f>
        <v>5000</v>
      </c>
    </row>
  </sheetData>
  <mergeCells count="20">
    <mergeCell ref="G113:J113"/>
    <mergeCell ref="G119:J119"/>
    <mergeCell ref="I76:K76"/>
    <mergeCell ref="I82:K82"/>
    <mergeCell ref="I88:M88"/>
    <mergeCell ref="I94:M94"/>
    <mergeCell ref="G101:I101"/>
    <mergeCell ref="G107:I107"/>
    <mergeCell ref="H39:J39"/>
    <mergeCell ref="H45:J45"/>
    <mergeCell ref="H51:J51"/>
    <mergeCell ref="H57:L57"/>
    <mergeCell ref="H63:M63"/>
    <mergeCell ref="I70:M70"/>
    <mergeCell ref="H2:M2"/>
    <mergeCell ref="H8:L8"/>
    <mergeCell ref="H14:K14"/>
    <mergeCell ref="H20:J20"/>
    <mergeCell ref="H26:N26"/>
    <mergeCell ref="H32:M32"/>
  </mergeCells>
  <dataValidations count="3">
    <dataValidation type="list" allowBlank="1" showInputMessage="1" showErrorMessage="1" sqref="I73 I79 I85" xr:uid="{C4B5FE3B-FCAB-4A77-AF33-6FA13FBA7418}">
      <formula1>$B$70:$F$70</formula1>
    </dataValidation>
    <dataValidation type="list" allowBlank="1" showInputMessage="1" showErrorMessage="1" sqref="H42 H48 H54 H66" xr:uid="{0ED7705B-4CAF-42F0-8BAA-28F4305A45E6}">
      <formula1>$A$40:$A$44</formula1>
    </dataValidation>
    <dataValidation type="list" allowBlank="1" showInputMessage="1" showErrorMessage="1" sqref="H5 H11 H17 H23" xr:uid="{9F9AA9BA-325B-415D-935D-2DFA3E7EE206}">
      <formula1>$A$2:$A$9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Kuntal</dc:creator>
  <cp:lastModifiedBy>Kuntal Das</cp:lastModifiedBy>
  <dcterms:created xsi:type="dcterms:W3CDTF">2015-06-05T18:17:20Z</dcterms:created>
  <dcterms:modified xsi:type="dcterms:W3CDTF">2026-05-23T12:23:22Z</dcterms:modified>
</cp:coreProperties>
</file>