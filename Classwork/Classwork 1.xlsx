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nudip Foundation\Domain\Classwork\"/>
    </mc:Choice>
  </mc:AlternateContent>
  <xr:revisionPtr revIDLastSave="0" documentId="13_ncr:1_{2D96802D-5202-4F35-B7D1-8FFD09481025}" xr6:coauthVersionLast="47" xr6:coauthVersionMax="47" xr10:uidLastSave="{00000000-0000-0000-0000-000000000000}"/>
  <bookViews>
    <workbookView xWindow="-120" yWindow="-120" windowWidth="20730" windowHeight="11160" tabRatio="635" firstSheet="6" activeTab="13" xr2:uid="{00000000-000D-0000-FFFF-FFFF00000000}"/>
  </bookViews>
  <sheets>
    <sheet name="Cell_Reference (Mixed)" sheetId="4" r:id="rId1"/>
    <sheet name="Copy_paste" sheetId="1" r:id="rId2"/>
    <sheet name="Fill_Series" sheetId="2" r:id="rId3"/>
    <sheet name="Flash_Fill" sheetId="3" r:id="rId4"/>
    <sheet name="E_Commerce_Formulas" sheetId="5" r:id="rId5"/>
    <sheet name="E_Commerce_Sort_Filter" sheetId="10" r:id="rId6"/>
    <sheet name="Operator" sheetId="6" r:id="rId7"/>
    <sheet name="Classwork" sheetId="7" r:id="rId8"/>
    <sheet name="COUNT" sheetId="9" r:id="rId9"/>
    <sheet name="Cons1" sheetId="11" r:id="rId10"/>
    <sheet name="Cons2" sheetId="13" r:id="rId11"/>
    <sheet name="Cons3" sheetId="12" r:id="rId12"/>
    <sheet name="3DSum" sheetId="14" r:id="rId13"/>
    <sheet name="Conditional_Format" sheetId="15" r:id="rId14"/>
  </sheets>
  <definedNames>
    <definedName name="_xlnm._FilterDatabase" localSheetId="5" hidden="1">E_Commerce_Sort_Filter!$A$1:$N$373</definedName>
    <definedName name="_xlnm.Criteria" localSheetId="5">E_Commerce_Sort_Filter!$P$4:$Q$5</definedName>
    <definedName name="_xlnm.Extract" localSheetId="5">E_Commerce_Sort_Filter!$P$67:$AC$67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0" i="14" l="1"/>
  <c r="L10" i="14"/>
  <c r="M10" i="14"/>
  <c r="N10" i="14"/>
  <c r="N13" i="14" s="1"/>
  <c r="K11" i="14"/>
  <c r="L11" i="14"/>
  <c r="M11" i="14"/>
  <c r="N11" i="14"/>
  <c r="K12" i="14"/>
  <c r="L12" i="14"/>
  <c r="M12" i="14"/>
  <c r="N12" i="14"/>
  <c r="K13" i="14"/>
  <c r="L13" i="14"/>
  <c r="K14" i="14"/>
  <c r="L14" i="14"/>
  <c r="M14" i="14"/>
  <c r="N14" i="14"/>
  <c r="K15" i="14"/>
  <c r="L15" i="14"/>
  <c r="M15" i="14"/>
  <c r="N15" i="14"/>
  <c r="K16" i="14"/>
  <c r="L16" i="14"/>
  <c r="M16" i="14"/>
  <c r="N16" i="14"/>
  <c r="K17" i="14"/>
  <c r="L17" i="14"/>
  <c r="M17" i="14"/>
  <c r="N17" i="14"/>
  <c r="K18" i="14"/>
  <c r="L18" i="14"/>
  <c r="M18" i="14"/>
  <c r="N18" i="14"/>
  <c r="K19" i="14"/>
  <c r="L19" i="14"/>
  <c r="M19" i="14"/>
  <c r="N19" i="14"/>
  <c r="K20" i="14"/>
  <c r="L20" i="14"/>
  <c r="M20" i="14"/>
  <c r="N20" i="14"/>
  <c r="K21" i="14"/>
  <c r="L21" i="14"/>
  <c r="M21" i="14"/>
  <c r="N21" i="14"/>
  <c r="K22" i="14"/>
  <c r="L22" i="14"/>
  <c r="M22" i="14"/>
  <c r="N22" i="14"/>
  <c r="K23" i="14"/>
  <c r="L23" i="14"/>
  <c r="M23" i="14"/>
  <c r="N23" i="14"/>
  <c r="K24" i="14"/>
  <c r="L24" i="14"/>
  <c r="M24" i="14"/>
  <c r="N24" i="14"/>
  <c r="K25" i="14"/>
  <c r="L25" i="14"/>
  <c r="M25" i="14"/>
  <c r="N25" i="14"/>
  <c r="K26" i="14"/>
  <c r="L26" i="14"/>
  <c r="M26" i="14"/>
  <c r="N26" i="14"/>
  <c r="K27" i="14"/>
  <c r="L27" i="14"/>
  <c r="M27" i="14"/>
  <c r="N27" i="14"/>
  <c r="K28" i="14"/>
  <c r="L28" i="14"/>
  <c r="M28" i="14"/>
  <c r="N28" i="14"/>
  <c r="K29" i="14"/>
  <c r="L29" i="14"/>
  <c r="M29" i="14"/>
  <c r="N29" i="14"/>
  <c r="X16" i="5"/>
  <c r="W13" i="5"/>
  <c r="X8" i="5"/>
  <c r="X31" i="5"/>
  <c r="W28" i="5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W25" i="5"/>
  <c r="W23" i="5" a="1"/>
  <c r="W23" i="5" s="1"/>
  <c r="W20" i="5"/>
  <c r="W18" i="5"/>
  <c r="Q3" i="5"/>
  <c r="Q4" i="5"/>
  <c r="Q5" i="5"/>
  <c r="Q6" i="5"/>
  <c r="Q7" i="5"/>
  <c r="Q8" i="5"/>
  <c r="Q9" i="5"/>
  <c r="Q10" i="5"/>
  <c r="Q11" i="5"/>
  <c r="Q12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2" i="5"/>
  <c r="P3" i="5"/>
  <c r="P4" i="5"/>
  <c r="P5" i="5"/>
  <c r="P6" i="5"/>
  <c r="P7" i="5"/>
  <c r="P8" i="5"/>
  <c r="P9" i="5"/>
  <c r="P10" i="5"/>
  <c r="P11" i="5"/>
  <c r="P12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2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W5" i="5"/>
  <c r="W4" i="5"/>
  <c r="G2" i="9"/>
  <c r="F2" i="9"/>
  <c r="E2" i="9"/>
  <c r="W3" i="5"/>
  <c r="J3" i="7"/>
  <c r="M3" i="7"/>
  <c r="M4" i="7"/>
  <c r="M5" i="7"/>
  <c r="M6" i="7"/>
  <c r="M7" i="7"/>
  <c r="M8" i="7"/>
  <c r="M9" i="7"/>
  <c r="M10" i="7"/>
  <c r="M11" i="7"/>
  <c r="M2" i="7"/>
  <c r="K3" i="7"/>
  <c r="K2" i="7"/>
  <c r="L3" i="7"/>
  <c r="L2" i="7"/>
  <c r="L4" i="7"/>
  <c r="L5" i="7"/>
  <c r="L6" i="7"/>
  <c r="L7" i="7"/>
  <c r="L8" i="7"/>
  <c r="L9" i="7"/>
  <c r="L10" i="7"/>
  <c r="L11" i="7"/>
  <c r="K4" i="7"/>
  <c r="K5" i="7"/>
  <c r="K6" i="7"/>
  <c r="K7" i="7"/>
  <c r="K8" i="7"/>
  <c r="K9" i="7"/>
  <c r="K10" i="7"/>
  <c r="K11" i="7"/>
  <c r="J4" i="7"/>
  <c r="J5" i="7"/>
  <c r="J6" i="7"/>
  <c r="J7" i="7"/>
  <c r="J8" i="7"/>
  <c r="J9" i="7"/>
  <c r="J10" i="7"/>
  <c r="J11" i="7"/>
  <c r="J2" i="7"/>
  <c r="H3" i="7" a="1"/>
  <c r="H3" i="7"/>
  <c r="H4" i="7" a="1"/>
  <c r="H4" i="7"/>
  <c r="H5" i="7" a="1"/>
  <c r="H5" i="7"/>
  <c r="H6" i="7" a="1"/>
  <c r="H6" i="7"/>
  <c r="H7" i="7" a="1"/>
  <c r="H7" i="7"/>
  <c r="H8" i="7" a="1"/>
  <c r="H8" i="7"/>
  <c r="H9" i="7" a="1"/>
  <c r="H9" i="7"/>
  <c r="H10" i="7" a="1"/>
  <c r="H10" i="7"/>
  <c r="H11" i="7" a="1"/>
  <c r="H11" i="7"/>
  <c r="H2" i="7" a="1"/>
  <c r="H2" i="7" s="1"/>
  <c r="I3" i="7"/>
  <c r="I4" i="7"/>
  <c r="I5" i="7"/>
  <c r="I6" i="7"/>
  <c r="I7" i="7"/>
  <c r="I8" i="7"/>
  <c r="I9" i="7"/>
  <c r="I10" i="7"/>
  <c r="I11" i="7"/>
  <c r="I2" i="7"/>
  <c r="G3" i="7"/>
  <c r="G4" i="7"/>
  <c r="G5" i="7"/>
  <c r="G6" i="7"/>
  <c r="G7" i="7"/>
  <c r="G8" i="7"/>
  <c r="G9" i="7"/>
  <c r="G10" i="7"/>
  <c r="G11" i="7"/>
  <c r="G2" i="7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T237" i="5"/>
  <c r="T238" i="5"/>
  <c r="T239" i="5"/>
  <c r="T240" i="5"/>
  <c r="T241" i="5"/>
  <c r="T242" i="5"/>
  <c r="T243" i="5"/>
  <c r="T244" i="5"/>
  <c r="T245" i="5"/>
  <c r="T246" i="5"/>
  <c r="T247" i="5"/>
  <c r="T248" i="5"/>
  <c r="T249" i="5"/>
  <c r="T250" i="5"/>
  <c r="T251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72" i="5"/>
  <c r="T273" i="5"/>
  <c r="T274" i="5"/>
  <c r="T275" i="5"/>
  <c r="T276" i="5"/>
  <c r="T277" i="5"/>
  <c r="T278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99" i="5"/>
  <c r="T300" i="5"/>
  <c r="T301" i="5"/>
  <c r="T302" i="5"/>
  <c r="T303" i="5"/>
  <c r="T304" i="5"/>
  <c r="T305" i="5"/>
  <c r="T306" i="5"/>
  <c r="T307" i="5"/>
  <c r="T308" i="5"/>
  <c r="T309" i="5"/>
  <c r="T310" i="5"/>
  <c r="T311" i="5"/>
  <c r="T312" i="5"/>
  <c r="T313" i="5"/>
  <c r="T314" i="5"/>
  <c r="T315" i="5"/>
  <c r="T316" i="5"/>
  <c r="T317" i="5"/>
  <c r="T318" i="5"/>
  <c r="T319" i="5"/>
  <c r="T320" i="5"/>
  <c r="T321" i="5"/>
  <c r="T322" i="5"/>
  <c r="T323" i="5"/>
  <c r="T324" i="5"/>
  <c r="T325" i="5"/>
  <c r="T326" i="5"/>
  <c r="T327" i="5"/>
  <c r="T328" i="5"/>
  <c r="T329" i="5"/>
  <c r="T330" i="5"/>
  <c r="T331" i="5"/>
  <c r="T332" i="5"/>
  <c r="T333" i="5"/>
  <c r="T334" i="5"/>
  <c r="T335" i="5"/>
  <c r="T336" i="5"/>
  <c r="T337" i="5"/>
  <c r="T338" i="5"/>
  <c r="T339" i="5"/>
  <c r="T340" i="5"/>
  <c r="T341" i="5"/>
  <c r="T342" i="5"/>
  <c r="T343" i="5"/>
  <c r="T344" i="5"/>
  <c r="T345" i="5"/>
  <c r="T346" i="5"/>
  <c r="T347" i="5"/>
  <c r="T348" i="5"/>
  <c r="T349" i="5"/>
  <c r="T350" i="5"/>
  <c r="T351" i="5"/>
  <c r="T352" i="5"/>
  <c r="T353" i="5"/>
  <c r="T354" i="5"/>
  <c r="T355" i="5"/>
  <c r="T356" i="5"/>
  <c r="T357" i="5"/>
  <c r="T358" i="5"/>
  <c r="T359" i="5"/>
  <c r="T360" i="5"/>
  <c r="T361" i="5"/>
  <c r="T362" i="5"/>
  <c r="T363" i="5"/>
  <c r="T364" i="5"/>
  <c r="T365" i="5"/>
  <c r="T366" i="5"/>
  <c r="T367" i="5"/>
  <c r="T368" i="5"/>
  <c r="T369" i="5"/>
  <c r="T370" i="5"/>
  <c r="T371" i="5"/>
  <c r="T372" i="5"/>
  <c r="T373" i="5"/>
  <c r="T2" i="5"/>
  <c r="S5" i="5" a="1"/>
  <c r="S5" i="5" s="1"/>
  <c r="S3" i="5" a="1"/>
  <c r="S3" i="5" s="1"/>
  <c r="S4" i="5" a="1"/>
  <c r="S4" i="5" s="1"/>
  <c r="S6" i="5" a="1"/>
  <c r="S6" i="5" s="1"/>
  <c r="S7" i="5" a="1"/>
  <c r="S7" i="5" s="1"/>
  <c r="S8" i="5" a="1"/>
  <c r="S8" i="5" s="1"/>
  <c r="S9" i="5" a="1"/>
  <c r="S9" i="5" s="1"/>
  <c r="S10" i="5" a="1"/>
  <c r="S10" i="5" s="1"/>
  <c r="S11" i="5" a="1"/>
  <c r="S11" i="5" s="1"/>
  <c r="S12" i="5" a="1"/>
  <c r="S12" i="5" s="1"/>
  <c r="S13" i="5" a="1"/>
  <c r="S13" i="5" s="1"/>
  <c r="S14" i="5" a="1"/>
  <c r="S14" i="5" s="1"/>
  <c r="S15" i="5" a="1"/>
  <c r="S15" i="5" s="1"/>
  <c r="S16" i="5" a="1"/>
  <c r="S16" i="5" s="1"/>
  <c r="S17" i="5" a="1"/>
  <c r="S17" i="5" s="1"/>
  <c r="S18" i="5" a="1"/>
  <c r="S18" i="5" s="1"/>
  <c r="S19" i="5" a="1"/>
  <c r="S19" i="5" s="1"/>
  <c r="S20" i="5" a="1"/>
  <c r="S20" i="5" s="1"/>
  <c r="S21" i="5" a="1"/>
  <c r="S21" i="5" s="1"/>
  <c r="S22" i="5" a="1"/>
  <c r="S22" i="5" s="1"/>
  <c r="S23" i="5" a="1"/>
  <c r="S23" i="5" s="1"/>
  <c r="S24" i="5" a="1"/>
  <c r="S24" i="5" s="1"/>
  <c r="S25" i="5" a="1"/>
  <c r="S25" i="5" s="1"/>
  <c r="S26" i="5" a="1"/>
  <c r="S26" i="5" s="1"/>
  <c r="S27" i="5" a="1"/>
  <c r="S27" i="5" s="1"/>
  <c r="S28" i="5" a="1"/>
  <c r="S28" i="5" s="1"/>
  <c r="S29" i="5" a="1"/>
  <c r="S29" i="5" s="1"/>
  <c r="S30" i="5" a="1"/>
  <c r="S30" i="5" s="1"/>
  <c r="S31" i="5" a="1"/>
  <c r="S31" i="5" s="1"/>
  <c r="S32" i="5" a="1"/>
  <c r="S32" i="5" s="1"/>
  <c r="S33" i="5" a="1"/>
  <c r="S33" i="5" s="1"/>
  <c r="S34" i="5" a="1"/>
  <c r="S34" i="5" s="1"/>
  <c r="S35" i="5" a="1"/>
  <c r="S35" i="5" s="1"/>
  <c r="S36" i="5" a="1"/>
  <c r="S36" i="5" s="1"/>
  <c r="S37" i="5" a="1"/>
  <c r="S37" i="5" s="1"/>
  <c r="S38" i="5" a="1"/>
  <c r="S38" i="5" s="1"/>
  <c r="S39" i="5" a="1"/>
  <c r="S39" i="5" s="1"/>
  <c r="S40" i="5" a="1"/>
  <c r="S40" i="5" s="1"/>
  <c r="S41" i="5" a="1"/>
  <c r="S41" i="5" s="1"/>
  <c r="S42" i="5" a="1"/>
  <c r="S42" i="5" s="1"/>
  <c r="S43" i="5" a="1"/>
  <c r="S43" i="5" s="1"/>
  <c r="S44" i="5" a="1"/>
  <c r="S44" i="5" s="1"/>
  <c r="S45" i="5" a="1"/>
  <c r="S45" i="5" s="1"/>
  <c r="S46" i="5" a="1"/>
  <c r="S46" i="5" s="1"/>
  <c r="S47" i="5" a="1"/>
  <c r="S47" i="5" s="1"/>
  <c r="S48" i="5" a="1"/>
  <c r="S48" i="5" s="1"/>
  <c r="S49" i="5" a="1"/>
  <c r="S49" i="5" s="1"/>
  <c r="S50" i="5" a="1"/>
  <c r="S50" i="5" s="1"/>
  <c r="S51" i="5" a="1"/>
  <c r="S51" i="5" s="1"/>
  <c r="S52" i="5" a="1"/>
  <c r="S52" i="5" s="1"/>
  <c r="S53" i="5" a="1"/>
  <c r="S53" i="5" s="1"/>
  <c r="S54" i="5" a="1"/>
  <c r="S54" i="5" s="1"/>
  <c r="S55" i="5" a="1"/>
  <c r="S55" i="5" s="1"/>
  <c r="S56" i="5" a="1"/>
  <c r="S56" i="5" s="1"/>
  <c r="S57" i="5" a="1"/>
  <c r="S57" i="5" s="1"/>
  <c r="S58" i="5" a="1"/>
  <c r="S58" i="5" s="1"/>
  <c r="S59" i="5" a="1"/>
  <c r="S59" i="5" s="1"/>
  <c r="S60" i="5" a="1"/>
  <c r="S60" i="5" s="1"/>
  <c r="S61" i="5" a="1"/>
  <c r="S61" i="5" s="1"/>
  <c r="S62" i="5" a="1"/>
  <c r="S62" i="5" s="1"/>
  <c r="S63" i="5" a="1"/>
  <c r="S63" i="5" s="1"/>
  <c r="S64" i="5" a="1"/>
  <c r="S64" i="5" s="1"/>
  <c r="S65" i="5" a="1"/>
  <c r="S65" i="5" s="1"/>
  <c r="S66" i="5" a="1"/>
  <c r="S66" i="5" s="1"/>
  <c r="S67" i="5" a="1"/>
  <c r="S67" i="5" s="1"/>
  <c r="S68" i="5" a="1"/>
  <c r="S68" i="5" s="1"/>
  <c r="S69" i="5" a="1"/>
  <c r="S69" i="5" s="1"/>
  <c r="S70" i="5" a="1"/>
  <c r="S70" i="5" s="1"/>
  <c r="S71" i="5" a="1"/>
  <c r="S71" i="5" s="1"/>
  <c r="S72" i="5" a="1"/>
  <c r="S72" i="5" s="1"/>
  <c r="S73" i="5" a="1"/>
  <c r="S73" i="5" s="1"/>
  <c r="S74" i="5" a="1"/>
  <c r="S74" i="5" s="1"/>
  <c r="S75" i="5" a="1"/>
  <c r="S75" i="5" s="1"/>
  <c r="S76" i="5" a="1"/>
  <c r="S76" i="5" s="1"/>
  <c r="S77" i="5" a="1"/>
  <c r="S77" i="5" s="1"/>
  <c r="S78" i="5" a="1"/>
  <c r="S78" i="5" s="1"/>
  <c r="S79" i="5" a="1"/>
  <c r="S79" i="5" s="1"/>
  <c r="S80" i="5" a="1"/>
  <c r="S80" i="5" s="1"/>
  <c r="S81" i="5" a="1"/>
  <c r="S81" i="5" s="1"/>
  <c r="S82" i="5" a="1"/>
  <c r="S82" i="5" s="1"/>
  <c r="S83" i="5" a="1"/>
  <c r="S83" i="5" s="1"/>
  <c r="S84" i="5" a="1"/>
  <c r="S84" i="5" s="1"/>
  <c r="S85" i="5" a="1"/>
  <c r="S85" i="5" s="1"/>
  <c r="S86" i="5" a="1"/>
  <c r="S86" i="5" s="1"/>
  <c r="S87" i="5" a="1"/>
  <c r="S87" i="5" s="1"/>
  <c r="S88" i="5" a="1"/>
  <c r="S88" i="5" s="1"/>
  <c r="S89" i="5" a="1"/>
  <c r="S89" i="5" s="1"/>
  <c r="S90" i="5" a="1"/>
  <c r="S90" i="5" s="1"/>
  <c r="S91" i="5" a="1"/>
  <c r="S91" i="5" s="1"/>
  <c r="S92" i="5" a="1"/>
  <c r="S92" i="5" s="1"/>
  <c r="S93" i="5" a="1"/>
  <c r="S93" i="5" s="1"/>
  <c r="S94" i="5" a="1"/>
  <c r="S94" i="5" s="1"/>
  <c r="S95" i="5" a="1"/>
  <c r="S95" i="5" s="1"/>
  <c r="S96" i="5" a="1"/>
  <c r="S96" i="5" s="1"/>
  <c r="S97" i="5" a="1"/>
  <c r="S97" i="5" s="1"/>
  <c r="S98" i="5" a="1"/>
  <c r="S98" i="5" s="1"/>
  <c r="S99" i="5" a="1"/>
  <c r="S99" i="5" s="1"/>
  <c r="S100" i="5" a="1"/>
  <c r="S100" i="5" s="1"/>
  <c r="S101" i="5" a="1"/>
  <c r="S101" i="5" s="1"/>
  <c r="S102" i="5" a="1"/>
  <c r="S102" i="5" s="1"/>
  <c r="S103" i="5" a="1"/>
  <c r="S103" i="5" s="1"/>
  <c r="S104" i="5" a="1"/>
  <c r="S104" i="5" s="1"/>
  <c r="S105" i="5" a="1"/>
  <c r="S105" i="5" s="1"/>
  <c r="S106" i="5" a="1"/>
  <c r="S106" i="5" s="1"/>
  <c r="S107" i="5" a="1"/>
  <c r="S107" i="5" s="1"/>
  <c r="S108" i="5" a="1"/>
  <c r="S108" i="5" s="1"/>
  <c r="S109" i="5" a="1"/>
  <c r="S109" i="5" s="1"/>
  <c r="S110" i="5" a="1"/>
  <c r="S110" i="5" s="1"/>
  <c r="S111" i="5" a="1"/>
  <c r="S111" i="5" s="1"/>
  <c r="S112" i="5" a="1"/>
  <c r="S112" i="5" s="1"/>
  <c r="S113" i="5" a="1"/>
  <c r="S113" i="5" s="1"/>
  <c r="S114" i="5" a="1"/>
  <c r="S114" i="5" s="1"/>
  <c r="S115" i="5" a="1"/>
  <c r="S115" i="5" s="1"/>
  <c r="S116" i="5" a="1"/>
  <c r="S116" i="5" s="1"/>
  <c r="S117" i="5" a="1"/>
  <c r="S117" i="5" s="1"/>
  <c r="S118" i="5" a="1"/>
  <c r="S118" i="5" s="1"/>
  <c r="S119" i="5" a="1"/>
  <c r="S119" i="5" s="1"/>
  <c r="S120" i="5" a="1"/>
  <c r="S120" i="5" s="1"/>
  <c r="S121" i="5" a="1"/>
  <c r="S121" i="5" s="1"/>
  <c r="S122" i="5" a="1"/>
  <c r="S122" i="5" s="1"/>
  <c r="S123" i="5" a="1"/>
  <c r="S123" i="5" s="1"/>
  <c r="S124" i="5" a="1"/>
  <c r="S124" i="5" s="1"/>
  <c r="S125" i="5" a="1"/>
  <c r="S125" i="5" s="1"/>
  <c r="S126" i="5" a="1"/>
  <c r="S126" i="5" s="1"/>
  <c r="S127" i="5" a="1"/>
  <c r="S127" i="5" s="1"/>
  <c r="S128" i="5" a="1"/>
  <c r="S128" i="5" s="1"/>
  <c r="S129" i="5" a="1"/>
  <c r="S129" i="5" s="1"/>
  <c r="S130" i="5" a="1"/>
  <c r="S130" i="5" s="1"/>
  <c r="S131" i="5" a="1"/>
  <c r="S131" i="5" s="1"/>
  <c r="S132" i="5" a="1"/>
  <c r="S132" i="5" s="1"/>
  <c r="S133" i="5" a="1"/>
  <c r="S133" i="5" s="1"/>
  <c r="S134" i="5" a="1"/>
  <c r="S134" i="5" s="1"/>
  <c r="S135" i="5" a="1"/>
  <c r="S135" i="5" s="1"/>
  <c r="S136" i="5" a="1"/>
  <c r="S136" i="5" s="1"/>
  <c r="S137" i="5" a="1"/>
  <c r="S137" i="5" s="1"/>
  <c r="S138" i="5" a="1"/>
  <c r="S138" i="5" s="1"/>
  <c r="S139" i="5" a="1"/>
  <c r="S139" i="5" s="1"/>
  <c r="S140" i="5" a="1"/>
  <c r="S140" i="5" s="1"/>
  <c r="S141" i="5" a="1"/>
  <c r="S141" i="5" s="1"/>
  <c r="S142" i="5" a="1"/>
  <c r="S142" i="5" s="1"/>
  <c r="S143" i="5" a="1"/>
  <c r="S143" i="5" s="1"/>
  <c r="S144" i="5" a="1"/>
  <c r="S144" i="5" s="1"/>
  <c r="S145" i="5" a="1"/>
  <c r="S145" i="5" s="1"/>
  <c r="S146" i="5" a="1"/>
  <c r="S146" i="5" s="1"/>
  <c r="S147" i="5" a="1"/>
  <c r="S147" i="5" s="1"/>
  <c r="S148" i="5" a="1"/>
  <c r="S148" i="5" s="1"/>
  <c r="S149" i="5" a="1"/>
  <c r="S149" i="5" s="1"/>
  <c r="S150" i="5" a="1"/>
  <c r="S150" i="5" s="1"/>
  <c r="S151" i="5" a="1"/>
  <c r="S151" i="5" s="1"/>
  <c r="S152" i="5" a="1"/>
  <c r="S152" i="5" s="1"/>
  <c r="S153" i="5" a="1"/>
  <c r="S153" i="5" s="1"/>
  <c r="S154" i="5" a="1"/>
  <c r="S154" i="5" s="1"/>
  <c r="S155" i="5" a="1"/>
  <c r="S155" i="5" s="1"/>
  <c r="S156" i="5" a="1"/>
  <c r="S156" i="5"/>
  <c r="S157" i="5" a="1"/>
  <c r="S157" i="5" s="1"/>
  <c r="S158" i="5" a="1"/>
  <c r="S158" i="5" s="1"/>
  <c r="S159" i="5" a="1"/>
  <c r="S159" i="5" s="1"/>
  <c r="S160" i="5" a="1"/>
  <c r="S160" i="5" s="1"/>
  <c r="S161" i="5" a="1"/>
  <c r="S161" i="5" s="1"/>
  <c r="S162" i="5" a="1"/>
  <c r="S162" i="5" s="1"/>
  <c r="S163" i="5" a="1"/>
  <c r="S163" i="5" s="1"/>
  <c r="S164" i="5" a="1"/>
  <c r="S164" i="5" s="1"/>
  <c r="S165" i="5" a="1"/>
  <c r="S165" i="5" s="1"/>
  <c r="S166" i="5" a="1"/>
  <c r="S166" i="5" s="1"/>
  <c r="S167" i="5" a="1"/>
  <c r="S167" i="5" s="1"/>
  <c r="S168" i="5" a="1"/>
  <c r="S168" i="5" s="1"/>
  <c r="S169" i="5" a="1"/>
  <c r="S169" i="5" s="1"/>
  <c r="S170" i="5" a="1"/>
  <c r="S170" i="5" s="1"/>
  <c r="S171" i="5" a="1"/>
  <c r="S171" i="5" s="1"/>
  <c r="S172" i="5" a="1"/>
  <c r="S172" i="5" s="1"/>
  <c r="S173" i="5" a="1"/>
  <c r="S173" i="5" s="1"/>
  <c r="S174" i="5" a="1"/>
  <c r="S174" i="5" s="1"/>
  <c r="S175" i="5" a="1"/>
  <c r="S175" i="5" s="1"/>
  <c r="S176" i="5" a="1"/>
  <c r="S176" i="5" s="1"/>
  <c r="S177" i="5" a="1"/>
  <c r="S177" i="5" s="1"/>
  <c r="S178" i="5" a="1"/>
  <c r="S178" i="5" s="1"/>
  <c r="S179" i="5" a="1"/>
  <c r="S179" i="5" s="1"/>
  <c r="S180" i="5" a="1"/>
  <c r="S180" i="5" s="1"/>
  <c r="S181" i="5" a="1"/>
  <c r="S181" i="5" s="1"/>
  <c r="S182" i="5" a="1"/>
  <c r="S182" i="5" s="1"/>
  <c r="S183" i="5" a="1"/>
  <c r="S183" i="5" s="1"/>
  <c r="S184" i="5" a="1"/>
  <c r="S184" i="5" s="1"/>
  <c r="S185" i="5" a="1"/>
  <c r="S185" i="5" s="1"/>
  <c r="S186" i="5" a="1"/>
  <c r="S186" i="5" s="1"/>
  <c r="S187" i="5" a="1"/>
  <c r="S187" i="5" s="1"/>
  <c r="S188" i="5" a="1"/>
  <c r="S188" i="5" s="1"/>
  <c r="S189" i="5" a="1"/>
  <c r="S189" i="5" s="1"/>
  <c r="S190" i="5" a="1"/>
  <c r="S190" i="5" s="1"/>
  <c r="S191" i="5" a="1"/>
  <c r="S191" i="5" s="1"/>
  <c r="S192" i="5" a="1"/>
  <c r="S192" i="5" s="1"/>
  <c r="S193" i="5" a="1"/>
  <c r="S193" i="5" s="1"/>
  <c r="S194" i="5" a="1"/>
  <c r="S194" i="5" s="1"/>
  <c r="S195" i="5" a="1"/>
  <c r="S195" i="5" s="1"/>
  <c r="S196" i="5" a="1"/>
  <c r="S196" i="5" s="1"/>
  <c r="S197" i="5" a="1"/>
  <c r="S197" i="5" s="1"/>
  <c r="S198" i="5" a="1"/>
  <c r="S198" i="5" s="1"/>
  <c r="S199" i="5" a="1"/>
  <c r="S199" i="5" s="1"/>
  <c r="S200" i="5" a="1"/>
  <c r="S200" i="5" s="1"/>
  <c r="S201" i="5" a="1"/>
  <c r="S201" i="5" s="1"/>
  <c r="S202" i="5" a="1"/>
  <c r="S202" i="5" s="1"/>
  <c r="S203" i="5" a="1"/>
  <c r="S203" i="5" s="1"/>
  <c r="S204" i="5" a="1"/>
  <c r="S204" i="5" s="1"/>
  <c r="S205" i="5" a="1"/>
  <c r="S205" i="5" s="1"/>
  <c r="S206" i="5" a="1"/>
  <c r="S206" i="5" s="1"/>
  <c r="S207" i="5" a="1"/>
  <c r="S207" i="5" s="1"/>
  <c r="S208" i="5" a="1"/>
  <c r="S208" i="5" s="1"/>
  <c r="S209" i="5" a="1"/>
  <c r="S209" i="5" s="1"/>
  <c r="S210" i="5" a="1"/>
  <c r="S210" i="5" s="1"/>
  <c r="S211" i="5" a="1"/>
  <c r="S211" i="5" s="1"/>
  <c r="S212" i="5" a="1"/>
  <c r="S212" i="5" s="1"/>
  <c r="S213" i="5" a="1"/>
  <c r="S213" i="5" s="1"/>
  <c r="S214" i="5" a="1"/>
  <c r="S214" i="5" s="1"/>
  <c r="S215" i="5" a="1"/>
  <c r="S215" i="5" s="1"/>
  <c r="S216" i="5" a="1"/>
  <c r="S216" i="5" s="1"/>
  <c r="S217" i="5" a="1"/>
  <c r="S217" i="5" s="1"/>
  <c r="S218" i="5" a="1"/>
  <c r="S218" i="5" s="1"/>
  <c r="S219" i="5" a="1"/>
  <c r="S219" i="5" s="1"/>
  <c r="S220" i="5" a="1"/>
  <c r="S220" i="5" s="1"/>
  <c r="S221" i="5" a="1"/>
  <c r="S221" i="5" s="1"/>
  <c r="S222" i="5" a="1"/>
  <c r="S222" i="5" s="1"/>
  <c r="S223" i="5" a="1"/>
  <c r="S223" i="5" s="1"/>
  <c r="S224" i="5" a="1"/>
  <c r="S224" i="5"/>
  <c r="S225" i="5" a="1"/>
  <c r="S225" i="5" s="1"/>
  <c r="S226" i="5" a="1"/>
  <c r="S226" i="5" s="1"/>
  <c r="S227" i="5" a="1"/>
  <c r="S227" i="5" s="1"/>
  <c r="S228" i="5" a="1"/>
  <c r="S228" i="5" s="1"/>
  <c r="S229" i="5" a="1"/>
  <c r="S229" i="5" s="1"/>
  <c r="S230" i="5" a="1"/>
  <c r="S230" i="5" s="1"/>
  <c r="S231" i="5" a="1"/>
  <c r="S231" i="5" s="1"/>
  <c r="S232" i="5" a="1"/>
  <c r="S232" i="5" s="1"/>
  <c r="S233" i="5" a="1"/>
  <c r="S233" i="5" s="1"/>
  <c r="S234" i="5" a="1"/>
  <c r="S234" i="5" s="1"/>
  <c r="S235" i="5" a="1"/>
  <c r="S235" i="5" s="1"/>
  <c r="S236" i="5" a="1"/>
  <c r="S236" i="5" s="1"/>
  <c r="S237" i="5" a="1"/>
  <c r="S237" i="5" s="1"/>
  <c r="S238" i="5" a="1"/>
  <c r="S238" i="5" s="1"/>
  <c r="S239" i="5" a="1"/>
  <c r="S239" i="5" s="1"/>
  <c r="S240" i="5" a="1"/>
  <c r="S240" i="5" s="1"/>
  <c r="S241" i="5" a="1"/>
  <c r="S241" i="5" s="1"/>
  <c r="S242" i="5" a="1"/>
  <c r="S242" i="5" s="1"/>
  <c r="S243" i="5" a="1"/>
  <c r="S243" i="5" s="1"/>
  <c r="S244" i="5" a="1"/>
  <c r="S244" i="5" s="1"/>
  <c r="S245" i="5" a="1"/>
  <c r="S245" i="5" s="1"/>
  <c r="S246" i="5" a="1"/>
  <c r="S246" i="5" s="1"/>
  <c r="S247" i="5" a="1"/>
  <c r="S247" i="5" s="1"/>
  <c r="S248" i="5" a="1"/>
  <c r="S248" i="5" s="1"/>
  <c r="S249" i="5" a="1"/>
  <c r="S249" i="5" s="1"/>
  <c r="S250" i="5" a="1"/>
  <c r="S250" i="5" s="1"/>
  <c r="S251" i="5" a="1"/>
  <c r="S251" i="5" s="1"/>
  <c r="S252" i="5" a="1"/>
  <c r="S252" i="5" s="1"/>
  <c r="S253" i="5" a="1"/>
  <c r="S253" i="5" s="1"/>
  <c r="S254" i="5" a="1"/>
  <c r="S254" i="5" s="1"/>
  <c r="S255" i="5" a="1"/>
  <c r="S255" i="5" s="1"/>
  <c r="S256" i="5" a="1"/>
  <c r="S256" i="5" s="1"/>
  <c r="S257" i="5" a="1"/>
  <c r="S257" i="5" s="1"/>
  <c r="S258" i="5" a="1"/>
  <c r="S258" i="5" s="1"/>
  <c r="S259" i="5" a="1"/>
  <c r="S259" i="5" s="1"/>
  <c r="S260" i="5" a="1"/>
  <c r="S260" i="5" s="1"/>
  <c r="S261" i="5" a="1"/>
  <c r="S261" i="5" s="1"/>
  <c r="S262" i="5" a="1"/>
  <c r="S262" i="5" s="1"/>
  <c r="S263" i="5" a="1"/>
  <c r="S263" i="5" s="1"/>
  <c r="S264" i="5" a="1"/>
  <c r="S264" i="5" s="1"/>
  <c r="S265" i="5" a="1"/>
  <c r="S265" i="5" s="1"/>
  <c r="S266" i="5" a="1"/>
  <c r="S266" i="5" s="1"/>
  <c r="S267" i="5" a="1"/>
  <c r="S267" i="5" s="1"/>
  <c r="S268" i="5" a="1"/>
  <c r="S268" i="5" s="1"/>
  <c r="S269" i="5" a="1"/>
  <c r="S269" i="5" s="1"/>
  <c r="S270" i="5" a="1"/>
  <c r="S270" i="5" s="1"/>
  <c r="S271" i="5" a="1"/>
  <c r="S271" i="5" s="1"/>
  <c r="S272" i="5" a="1"/>
  <c r="S272" i="5" s="1"/>
  <c r="S273" i="5" a="1"/>
  <c r="S273" i="5" s="1"/>
  <c r="S274" i="5" a="1"/>
  <c r="S274" i="5" s="1"/>
  <c r="S275" i="5" a="1"/>
  <c r="S275" i="5" s="1"/>
  <c r="S276" i="5" a="1"/>
  <c r="S276" i="5" s="1"/>
  <c r="S277" i="5" a="1"/>
  <c r="S277" i="5" s="1"/>
  <c r="S278" i="5" a="1"/>
  <c r="S278" i="5" s="1"/>
  <c r="S279" i="5" a="1"/>
  <c r="S279" i="5" s="1"/>
  <c r="S280" i="5" a="1"/>
  <c r="S280" i="5" s="1"/>
  <c r="S281" i="5" a="1"/>
  <c r="S281" i="5" s="1"/>
  <c r="S282" i="5" a="1"/>
  <c r="S282" i="5" s="1"/>
  <c r="S283" i="5" a="1"/>
  <c r="S283" i="5" s="1"/>
  <c r="S284" i="5" a="1"/>
  <c r="S284" i="5" s="1"/>
  <c r="S285" i="5" a="1"/>
  <c r="S285" i="5" s="1"/>
  <c r="S286" i="5" a="1"/>
  <c r="S286" i="5" s="1"/>
  <c r="S287" i="5" a="1"/>
  <c r="S287" i="5" s="1"/>
  <c r="S288" i="5" a="1"/>
  <c r="S288" i="5" s="1"/>
  <c r="S289" i="5" a="1"/>
  <c r="S289" i="5" s="1"/>
  <c r="S290" i="5" a="1"/>
  <c r="S290" i="5" s="1"/>
  <c r="S291" i="5" a="1"/>
  <c r="S291" i="5" s="1"/>
  <c r="S292" i="5" a="1"/>
  <c r="S292" i="5" s="1"/>
  <c r="S293" i="5" a="1"/>
  <c r="S293" i="5" s="1"/>
  <c r="S294" i="5" a="1"/>
  <c r="S294" i="5" s="1"/>
  <c r="S295" i="5" a="1"/>
  <c r="S295" i="5" s="1"/>
  <c r="S296" i="5" a="1"/>
  <c r="S296" i="5"/>
  <c r="S297" i="5" a="1"/>
  <c r="S297" i="5" s="1"/>
  <c r="S298" i="5" a="1"/>
  <c r="S298" i="5" s="1"/>
  <c r="S299" i="5" a="1"/>
  <c r="S299" i="5" s="1"/>
  <c r="S300" i="5" a="1"/>
  <c r="S300" i="5" s="1"/>
  <c r="S301" i="5" a="1"/>
  <c r="S301" i="5" s="1"/>
  <c r="S302" i="5" a="1"/>
  <c r="S302" i="5" s="1"/>
  <c r="S303" i="5" a="1"/>
  <c r="S303" i="5"/>
  <c r="S304" i="5" a="1"/>
  <c r="S304" i="5" s="1"/>
  <c r="S305" i="5" a="1"/>
  <c r="S305" i="5" s="1"/>
  <c r="S306" i="5" a="1"/>
  <c r="S306" i="5" s="1"/>
  <c r="S307" i="5" a="1"/>
  <c r="S307" i="5" s="1"/>
  <c r="S308" i="5" a="1"/>
  <c r="S308" i="5" s="1"/>
  <c r="S309" i="5" a="1"/>
  <c r="S309" i="5" s="1"/>
  <c r="S310" i="5" a="1"/>
  <c r="S310" i="5" s="1"/>
  <c r="S311" i="5" a="1"/>
  <c r="S311" i="5" s="1"/>
  <c r="S312" i="5" a="1"/>
  <c r="S312" i="5" s="1"/>
  <c r="S313" i="5" a="1"/>
  <c r="S313" i="5" s="1"/>
  <c r="S314" i="5" a="1"/>
  <c r="S314" i="5" s="1"/>
  <c r="S315" i="5" a="1"/>
  <c r="S315" i="5" s="1"/>
  <c r="S316" i="5" a="1"/>
  <c r="S316" i="5" s="1"/>
  <c r="S317" i="5" a="1"/>
  <c r="S317" i="5" s="1"/>
  <c r="S318" i="5" a="1"/>
  <c r="S318" i="5" s="1"/>
  <c r="S319" i="5" a="1"/>
  <c r="S319" i="5" s="1"/>
  <c r="S320" i="5" a="1"/>
  <c r="S320" i="5" s="1"/>
  <c r="S321" i="5" a="1"/>
  <c r="S321" i="5" s="1"/>
  <c r="S322" i="5" a="1"/>
  <c r="S322" i="5" s="1"/>
  <c r="S323" i="5" a="1"/>
  <c r="S323" i="5" s="1"/>
  <c r="S324" i="5" a="1"/>
  <c r="S324" i="5" s="1"/>
  <c r="S325" i="5" a="1"/>
  <c r="S325" i="5" s="1"/>
  <c r="S326" i="5" a="1"/>
  <c r="S326" i="5" s="1"/>
  <c r="S327" i="5" a="1"/>
  <c r="S327" i="5" s="1"/>
  <c r="S328" i="5" a="1"/>
  <c r="S328" i="5" s="1"/>
  <c r="S329" i="5" a="1"/>
  <c r="S329" i="5" s="1"/>
  <c r="S330" i="5" a="1"/>
  <c r="S330" i="5" s="1"/>
  <c r="S331" i="5" a="1"/>
  <c r="S331" i="5" s="1"/>
  <c r="S332" i="5" a="1"/>
  <c r="S332" i="5" s="1"/>
  <c r="S333" i="5" a="1"/>
  <c r="S333" i="5" s="1"/>
  <c r="S334" i="5" a="1"/>
  <c r="S334" i="5" s="1"/>
  <c r="S335" i="5" a="1"/>
  <c r="S335" i="5" s="1"/>
  <c r="S336" i="5" a="1"/>
  <c r="S336" i="5" s="1"/>
  <c r="S337" i="5" a="1"/>
  <c r="S337" i="5" s="1"/>
  <c r="S338" i="5" a="1"/>
  <c r="S338" i="5" s="1"/>
  <c r="S339" i="5" a="1"/>
  <c r="S339" i="5" s="1"/>
  <c r="S340" i="5" a="1"/>
  <c r="S340" i="5" s="1"/>
  <c r="S341" i="5" a="1"/>
  <c r="S341" i="5" s="1"/>
  <c r="S342" i="5" a="1"/>
  <c r="S342" i="5" s="1"/>
  <c r="S343" i="5" a="1"/>
  <c r="S343" i="5" s="1"/>
  <c r="S344" i="5" a="1"/>
  <c r="S344" i="5" s="1"/>
  <c r="S345" i="5" a="1"/>
  <c r="S345" i="5" s="1"/>
  <c r="S346" i="5" a="1"/>
  <c r="S346" i="5" s="1"/>
  <c r="S347" i="5" a="1"/>
  <c r="S347" i="5" s="1"/>
  <c r="S348" i="5" a="1"/>
  <c r="S348" i="5" s="1"/>
  <c r="S349" i="5" a="1"/>
  <c r="S349" i="5" s="1"/>
  <c r="S350" i="5" a="1"/>
  <c r="S350" i="5" s="1"/>
  <c r="S351" i="5" a="1"/>
  <c r="S351" i="5" s="1"/>
  <c r="S352" i="5" a="1"/>
  <c r="S352" i="5" s="1"/>
  <c r="S353" i="5" a="1"/>
  <c r="S353" i="5" s="1"/>
  <c r="S354" i="5" a="1"/>
  <c r="S354" i="5" s="1"/>
  <c r="S355" i="5" a="1"/>
  <c r="S355" i="5" s="1"/>
  <c r="S356" i="5" a="1"/>
  <c r="S356" i="5" s="1"/>
  <c r="S357" i="5" a="1"/>
  <c r="S357" i="5" s="1"/>
  <c r="S358" i="5" a="1"/>
  <c r="S358" i="5" s="1"/>
  <c r="S359" i="5" a="1"/>
  <c r="S359" i="5" s="1"/>
  <c r="S360" i="5" a="1"/>
  <c r="S360" i="5" s="1"/>
  <c r="S361" i="5" a="1"/>
  <c r="S361" i="5" s="1"/>
  <c r="S362" i="5" a="1"/>
  <c r="S362" i="5" s="1"/>
  <c r="S363" i="5" a="1"/>
  <c r="S363" i="5"/>
  <c r="S364" i="5" a="1"/>
  <c r="S364" i="5" s="1"/>
  <c r="S365" i="5" a="1"/>
  <c r="S365" i="5" s="1"/>
  <c r="S366" i="5" a="1"/>
  <c r="S366" i="5" s="1"/>
  <c r="S367" i="5" a="1"/>
  <c r="S367" i="5" s="1"/>
  <c r="S368" i="5" a="1"/>
  <c r="S368" i="5" s="1"/>
  <c r="S369" i="5" a="1"/>
  <c r="S369" i="5" s="1"/>
  <c r="S370" i="5" a="1"/>
  <c r="S370" i="5" s="1"/>
  <c r="S371" i="5" a="1"/>
  <c r="S371" i="5" s="1"/>
  <c r="S372" i="5" a="1"/>
  <c r="S372" i="5" s="1"/>
  <c r="S373" i="5" a="1"/>
  <c r="S373" i="5" s="1"/>
  <c r="S2" i="5" a="1"/>
  <c r="S2" i="5" s="1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2" i="5"/>
  <c r="D3" i="6"/>
  <c r="D2" i="6"/>
  <c r="Q3" i="3"/>
  <c r="Q4" i="3"/>
  <c r="Q5" i="3"/>
  <c r="C2" i="4"/>
  <c r="D2" i="4"/>
  <c r="E2" i="4"/>
  <c r="F2" i="4"/>
  <c r="C3" i="4"/>
  <c r="D3" i="4"/>
  <c r="E3" i="4"/>
  <c r="F3" i="4"/>
  <c r="C4" i="4"/>
  <c r="D4" i="4"/>
  <c r="E4" i="4"/>
  <c r="F4" i="4"/>
  <c r="C5" i="4"/>
  <c r="D5" i="4"/>
  <c r="E5" i="4"/>
  <c r="F5" i="4"/>
  <c r="C6" i="4"/>
  <c r="D6" i="4"/>
  <c r="E6" i="4"/>
  <c r="F6" i="4"/>
  <c r="B3" i="4"/>
  <c r="B4" i="4"/>
  <c r="B5" i="4"/>
  <c r="B6" i="4"/>
  <c r="B2" i="4"/>
  <c r="Q2" i="3"/>
  <c r="L3" i="3"/>
  <c r="L4" i="3"/>
  <c r="L5" i="3"/>
  <c r="L2" i="3"/>
  <c r="M13" i="14" l="1"/>
  <c r="P13" i="5"/>
  <c r="Q13" i="5" s="1"/>
  <c r="W10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<sst xmlns="http://schemas.openxmlformats.org/spreadsheetml/2006/main" count="8682" uniqueCount="200">
  <si>
    <t>Order ID</t>
  </si>
  <si>
    <t>Product</t>
  </si>
  <si>
    <t>Price</t>
  </si>
  <si>
    <t>Quantity</t>
  </si>
  <si>
    <t>Pen</t>
  </si>
  <si>
    <t>Pencil</t>
  </si>
  <si>
    <t>Notebook</t>
  </si>
  <si>
    <t>Eraser</t>
  </si>
  <si>
    <t>Marker</t>
  </si>
  <si>
    <t>Scale</t>
  </si>
  <si>
    <t>Sharpner</t>
  </si>
  <si>
    <t>File</t>
  </si>
  <si>
    <t>Monday</t>
  </si>
  <si>
    <t>Tuesday</t>
  </si>
  <si>
    <t>Wednesday</t>
  </si>
  <si>
    <t>Thursday</t>
  </si>
  <si>
    <t>Friday</t>
  </si>
  <si>
    <t>Saturday</t>
  </si>
  <si>
    <t>Sunday</t>
  </si>
  <si>
    <t>Mon</t>
  </si>
  <si>
    <t>Tue</t>
  </si>
  <si>
    <t>Wed</t>
  </si>
  <si>
    <t>Thu</t>
  </si>
  <si>
    <t>Fri</t>
  </si>
  <si>
    <t>Sat</t>
  </si>
  <si>
    <t>Sun</t>
  </si>
  <si>
    <t>tulip</t>
  </si>
  <si>
    <t>rose</t>
  </si>
  <si>
    <t>hibiscus</t>
  </si>
  <si>
    <t>mogra</t>
  </si>
  <si>
    <t>Apple</t>
  </si>
  <si>
    <t>Orange</t>
  </si>
  <si>
    <t>Pineapple</t>
  </si>
  <si>
    <t>Mango</t>
  </si>
  <si>
    <t>Reg. Number</t>
  </si>
  <si>
    <t>101-A23-123</t>
  </si>
  <si>
    <t>First 3 digits</t>
  </si>
  <si>
    <t>345-556-343</t>
  </si>
  <si>
    <t>564-R12-512</t>
  </si>
  <si>
    <t>101-A23-101</t>
  </si>
  <si>
    <t>109-B34-543</t>
  </si>
  <si>
    <t>Last 3 digits</t>
  </si>
  <si>
    <t>Name</t>
  </si>
  <si>
    <t>Nisha</t>
  </si>
  <si>
    <t>Amrita</t>
  </si>
  <si>
    <t>Arnab</t>
  </si>
  <si>
    <t>Ashis</t>
  </si>
  <si>
    <t>Capital</t>
  </si>
  <si>
    <t>NISHA</t>
  </si>
  <si>
    <t>AMRITA</t>
  </si>
  <si>
    <t>ARNAB</t>
  </si>
  <si>
    <t>ASHIS</t>
  </si>
  <si>
    <t>UPPER</t>
  </si>
  <si>
    <t>Last Name</t>
  </si>
  <si>
    <t>First Name</t>
  </si>
  <si>
    <t>Roy</t>
  </si>
  <si>
    <t>Das</t>
  </si>
  <si>
    <t>Sahu</t>
  </si>
  <si>
    <t>Pal</t>
  </si>
  <si>
    <t>Full Name</t>
  </si>
  <si>
    <t>Nisha Roy</t>
  </si>
  <si>
    <t>Amrita Das</t>
  </si>
  <si>
    <t>Arnab Sahu</t>
  </si>
  <si>
    <t>Ashis Pal</t>
  </si>
  <si>
    <t>Full Name 2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</si>
  <si>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</si>
  <si>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</si>
  <si>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</si>
  <si>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</si>
  <si>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</si>
  <si>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</si>
  <si>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</si>
  <si>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</si>
  <si>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</si>
  <si>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</si>
  <si>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</si>
  <si>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</si>
  <si>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</si>
  <si>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</si>
  <si>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</si>
  <si>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</si>
  <si>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</si>
  <si>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</si>
  <si>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</si>
  <si>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</si>
  <si>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</si>
  <si>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</si>
  <si>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</si>
  <si>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</si>
  <si>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</si>
  <si>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</si>
  <si>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</si>
  <si>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</si>
  <si>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</si>
  <si>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</si>
  <si>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</si>
  <si>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</si>
  <si>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</si>
  <si>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</si>
  <si>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</si>
  <si>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</si>
  <si>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</si>
  <si>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</si>
  <si>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</si>
  <si>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</si>
  <si>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</si>
  <si>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</si>
  <si>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</si>
  <si>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</si>
  <si>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</si>
  <si>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</si>
  <si>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</si>
  <si>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</si>
  <si>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</si>
  <si>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</si>
  <si>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</si>
  <si>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</si>
  <si>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</si>
  <si>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</si>
  <si>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</si>
  <si>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</si>
  <si>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</si>
  <si>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</si>
  <si>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</si>
  <si>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</si>
  <si>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</si>
  <si>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</si>
  <si>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</si>
  <si>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</si>
  <si>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Biography</t>
  </si>
  <si>
    <t>Smartphone</t>
  </si>
  <si>
    <t>Dumbbells</t>
  </si>
  <si>
    <t>Cookware Set</t>
  </si>
  <si>
    <t>Num 1</t>
  </si>
  <si>
    <t>Num 2</t>
  </si>
  <si>
    <t>opr</t>
  </si>
  <si>
    <t>Sale Status</t>
  </si>
  <si>
    <t>Sale Status1</t>
  </si>
  <si>
    <t>Sale Status2</t>
  </si>
  <si>
    <t>Student ID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</si>
  <si>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</si>
  <si>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</si>
  <si>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</si>
  <si>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</si>
  <si>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</si>
  <si>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</si>
  <si>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</si>
  <si>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</si>
  <si>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</si>
  <si>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</si>
  <si>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Amit</t>
  </si>
  <si>
    <t>Riya</t>
  </si>
  <si>
    <t>Arjun</t>
  </si>
  <si>
    <t>Sneha</t>
  </si>
  <si>
    <t>Rahul</t>
  </si>
  <si>
    <t>Priya</t>
  </si>
  <si>
    <t>Karan</t>
  </si>
  <si>
    <t>Neha</t>
  </si>
  <si>
    <t>Vivek</t>
  </si>
  <si>
    <t>Ananya</t>
  </si>
  <si>
    <t>Marks</t>
  </si>
  <si>
    <t>Attendance %</t>
  </si>
  <si>
    <t>Project Score</t>
  </si>
  <si>
    <t>Sports Participation</t>
  </si>
  <si>
    <t>Yes</t>
  </si>
  <si>
    <t>No</t>
  </si>
  <si>
    <t>Result1</t>
  </si>
  <si>
    <t>Grade</t>
  </si>
  <si>
    <t>Grade1</t>
  </si>
  <si>
    <t>Project Grade</t>
  </si>
  <si>
    <t>Between 50 to 70</t>
  </si>
  <si>
    <t>Project Grade1</t>
  </si>
  <si>
    <t>Marks Status</t>
  </si>
  <si>
    <t xml:space="preserve">No. of Customers: </t>
  </si>
  <si>
    <t>Lichi</t>
  </si>
  <si>
    <t>Units sold &gt;5</t>
  </si>
  <si>
    <t>Units sold &gt;5 and Brand=BrandA:</t>
  </si>
  <si>
    <t>Number</t>
  </si>
  <si>
    <t>Units sold greater than</t>
  </si>
  <si>
    <t>Total Price</t>
  </si>
  <si>
    <t>Price after discount</t>
  </si>
  <si>
    <t>Discount Amount</t>
  </si>
  <si>
    <t>Total Revenue</t>
  </si>
  <si>
    <t>Total units sold</t>
  </si>
  <si>
    <t>Total Revenue (Price After Discount)</t>
  </si>
  <si>
    <t>Average total price of items</t>
  </si>
  <si>
    <t>Total Revenue1 (Total Price)</t>
  </si>
  <si>
    <t>Total Revenue2 (Total Price)</t>
  </si>
  <si>
    <t>Average unit sold</t>
  </si>
  <si>
    <t>Average units sold</t>
  </si>
  <si>
    <t>A</t>
  </si>
  <si>
    <t>B</t>
  </si>
  <si>
    <t>C</t>
  </si>
  <si>
    <t>D</t>
  </si>
  <si>
    <t>E</t>
  </si>
  <si>
    <t>S1</t>
  </si>
  <si>
    <t>S2</t>
  </si>
  <si>
    <t>S3</t>
  </si>
  <si>
    <t>S4</t>
  </si>
  <si>
    <t>Classwork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</si>
</sst>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2" fillId="0" borderId="1" xfId="0" applyFont="1" applyBorder="1"/>
    <xf numFmtId="164" fontId="1" fillId="0" borderId="1" xfId="0" applyNumberFormat="1" applyFont="1" applyBorder="1"/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  <xf numFmtId="0" fontId="4" fillId="2" borderId="1" xfId="0" applyFont="1" applyFill="1" applyBorder="1"/>
    <xf numFmtId="0" fontId="4" fillId="0" borderId="1" xfId="0" applyFont="1" applyFill="1" applyBorder="1"/>
    <xf numFmtId="0" fontId="0" fillId="0" borderId="1" xfId="0" applyFill="1" applyBorder="1"/>
    <xf numFmtId="14" fontId="0" fillId="0" borderId="1" xfId="0" applyNumberFormat="1" applyBorder="1"/>
    <xf numFmtId="0" fontId="4" fillId="0" borderId="2" xfId="0" applyFont="1" applyFill="1" applyBorder="1"/>
    <xf numFmtId="0" fontId="0" fillId="0" borderId="1" xfId="0" applyFont="1" applyBorder="1"/>
    <xf numFmtId="0" fontId="4" fillId="0" borderId="2" xfId="0" applyFont="1" applyBorder="1"/>
    <xf numFmtId="0" fontId="0" fillId="0" borderId="0" xfId="0" applyBorder="1"/>
  </cellXfs>
  <cellStyles count="1">
    <cellStyle name="Normal" xfId="0" builtinId="0"/>
  </cellStyles>
  <dxfs count="4"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89D44-F1D2-4737-8FA5-952AEAF15FDE}">
  <dimension ref="A1:F6"/>
  <sheetViews>
    <sheetView workbookViewId="0">
      <selection activeCell="H6" sqref="H6"/>
    </sheetView>
  </sheetViews>
  <sheetFormatPr defaultRowHeight="15" x14ac:dyDescent="0.25"/>
  <cols>
    <col min="2" max="2" width="9.140625" customWidth="1"/>
    <col min="4" max="4" width="9.140625" customWidth="1"/>
    <col min="6" max="6" width="0" hidden="1" customWidth="1"/>
  </cols>
  <sheetData>
    <row r="1" spans="1:6" x14ac:dyDescent="0.25"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25">
      <c r="A2">
        <v>10</v>
      </c>
      <c r="B2">
        <f>$A2*B$1</f>
        <v>10</v>
      </c>
      <c r="C2">
        <f t="shared" ref="C2:F2" si="0">$A2*C$1</f>
        <v>20</v>
      </c>
      <c r="D2">
        <f t="shared" si="0"/>
        <v>30</v>
      </c>
      <c r="E2">
        <f t="shared" si="0"/>
        <v>40</v>
      </c>
      <c r="F2">
        <f t="shared" si="0"/>
        <v>50</v>
      </c>
    </row>
    <row r="3" spans="1:6" x14ac:dyDescent="0.25">
      <c r="A3">
        <v>20</v>
      </c>
      <c r="B3">
        <f t="shared" ref="B3:F6" si="1">$A3*B$1</f>
        <v>20</v>
      </c>
      <c r="C3">
        <f t="shared" si="1"/>
        <v>40</v>
      </c>
      <c r="D3">
        <f t="shared" si="1"/>
        <v>60</v>
      </c>
      <c r="E3">
        <f t="shared" si="1"/>
        <v>80</v>
      </c>
      <c r="F3">
        <f t="shared" si="1"/>
        <v>100</v>
      </c>
    </row>
    <row r="4" spans="1:6" x14ac:dyDescent="0.25">
      <c r="A4">
        <v>30</v>
      </c>
      <c r="B4">
        <f t="shared" si="1"/>
        <v>30</v>
      </c>
      <c r="C4">
        <f t="shared" si="1"/>
        <v>60</v>
      </c>
      <c r="D4">
        <f t="shared" si="1"/>
        <v>90</v>
      </c>
      <c r="E4">
        <f t="shared" si="1"/>
        <v>120</v>
      </c>
      <c r="F4">
        <f t="shared" si="1"/>
        <v>150</v>
      </c>
    </row>
    <row r="5" spans="1:6" x14ac:dyDescent="0.25">
      <c r="A5">
        <v>40</v>
      </c>
      <c r="B5">
        <f t="shared" si="1"/>
        <v>40</v>
      </c>
      <c r="C5">
        <f t="shared" si="1"/>
        <v>80</v>
      </c>
      <c r="D5">
        <f t="shared" si="1"/>
        <v>120</v>
      </c>
      <c r="E5">
        <f t="shared" si="1"/>
        <v>160</v>
      </c>
      <c r="F5">
        <f t="shared" si="1"/>
        <v>200</v>
      </c>
    </row>
    <row r="6" spans="1:6" x14ac:dyDescent="0.25">
      <c r="A6">
        <v>50</v>
      </c>
      <c r="B6">
        <f t="shared" si="1"/>
        <v>50</v>
      </c>
      <c r="C6">
        <f t="shared" si="1"/>
        <v>100</v>
      </c>
      <c r="D6">
        <f t="shared" si="1"/>
        <v>150</v>
      </c>
      <c r="E6">
        <f t="shared" si="1"/>
        <v>200</v>
      </c>
      <c r="F6">
        <f t="shared" si="1"/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7"/>
  <sheetViews>
    <sheetView workbookViewId="0">
      <selection activeCell="B14" sqref="B14:J17"/>
    </sheetView>
  </sheetViews>
  <sheetFormatPr defaultRowHeight="15" x14ac:dyDescent="0.25"/>
  <cols>
    <col min="2" max="2" width="11.28515625" bestFit="1" customWidth="1"/>
    <col min="3" max="3" width="9.7109375" bestFit="1" customWidth="1"/>
    <col min="4" max="4" width="8.28515625" bestFit="1" customWidth="1"/>
    <col min="5" max="5" width="12.140625" bestFit="1" customWidth="1"/>
    <col min="6" max="6" width="8.28515625" bestFit="1" customWidth="1"/>
    <col min="7" max="8" width="9.7109375" bestFit="1" customWidth="1"/>
    <col min="9" max="9" width="11.42578125" bestFit="1" customWidth="1"/>
    <col min="10" max="10" width="9.7109375" bestFit="1" customWidth="1"/>
  </cols>
  <sheetData>
    <row r="2" spans="2:15" ht="18.75" x14ac:dyDescent="0.3">
      <c r="B2" s="5" t="s">
        <v>0</v>
      </c>
      <c r="C2" s="5" t="s">
        <v>1</v>
      </c>
      <c r="D2" s="5" t="s">
        <v>2</v>
      </c>
      <c r="E2" s="5" t="s">
        <v>3</v>
      </c>
      <c r="G2" t="s">
        <v>0</v>
      </c>
      <c r="H2" t="s">
        <v>1</v>
      </c>
      <c r="I2" t="s">
        <v>2</v>
      </c>
      <c r="J2" t="s">
        <v>3</v>
      </c>
      <c r="L2" s="5"/>
      <c r="M2" s="5"/>
      <c r="N2" s="5"/>
      <c r="O2" s="5"/>
    </row>
    <row r="3" spans="2:15" ht="18.75" x14ac:dyDescent="0.3">
      <c r="B3" s="2">
        <v>1001</v>
      </c>
      <c r="C3" s="3" t="s">
        <v>4</v>
      </c>
      <c r="D3" s="4">
        <v>10</v>
      </c>
      <c r="E3" s="1">
        <v>5</v>
      </c>
      <c r="G3">
        <v>1001</v>
      </c>
      <c r="H3" t="s">
        <v>4</v>
      </c>
      <c r="I3">
        <v>10</v>
      </c>
      <c r="J3">
        <v>5</v>
      </c>
      <c r="L3" s="2"/>
      <c r="M3" s="3"/>
      <c r="N3" s="4"/>
      <c r="O3" s="1"/>
    </row>
    <row r="4" spans="2:15" ht="18.75" x14ac:dyDescent="0.3">
      <c r="B4" s="2">
        <v>1002</v>
      </c>
      <c r="C4" s="3" t="s">
        <v>5</v>
      </c>
      <c r="D4" s="4">
        <v>5</v>
      </c>
      <c r="E4" s="1">
        <v>10</v>
      </c>
      <c r="G4">
        <v>1002</v>
      </c>
      <c r="H4" t="s">
        <v>5</v>
      </c>
      <c r="I4">
        <v>5</v>
      </c>
      <c r="J4">
        <v>10</v>
      </c>
      <c r="L4" s="2"/>
      <c r="M4" s="3"/>
      <c r="N4" s="4"/>
      <c r="O4" s="1"/>
    </row>
    <row r="5" spans="2:15" ht="18.75" x14ac:dyDescent="0.3">
      <c r="B5" s="2">
        <v>1003</v>
      </c>
      <c r="C5" s="3" t="s">
        <v>6</v>
      </c>
      <c r="D5" s="4">
        <v>50</v>
      </c>
      <c r="E5" s="1">
        <v>3</v>
      </c>
      <c r="G5">
        <v>1003</v>
      </c>
      <c r="H5" t="s">
        <v>6</v>
      </c>
      <c r="I5">
        <v>50</v>
      </c>
      <c r="J5">
        <v>3</v>
      </c>
      <c r="L5" s="2"/>
      <c r="M5" s="3"/>
      <c r="N5" s="4"/>
      <c r="O5" s="1"/>
    </row>
    <row r="6" spans="2:15" ht="18.75" x14ac:dyDescent="0.3">
      <c r="B6" s="2">
        <v>1004</v>
      </c>
      <c r="C6" s="3" t="s">
        <v>7</v>
      </c>
      <c r="D6" s="4">
        <v>3</v>
      </c>
      <c r="E6" s="1">
        <v>20</v>
      </c>
      <c r="G6">
        <v>1004</v>
      </c>
      <c r="H6" t="s">
        <v>7</v>
      </c>
      <c r="I6">
        <v>3</v>
      </c>
      <c r="J6">
        <v>20</v>
      </c>
      <c r="L6" s="2"/>
      <c r="M6" s="3"/>
      <c r="N6" s="4"/>
      <c r="O6" s="1"/>
    </row>
    <row r="7" spans="2:15" ht="18.75" x14ac:dyDescent="0.3">
      <c r="B7" s="2">
        <v>1005</v>
      </c>
      <c r="C7" s="3" t="s">
        <v>8</v>
      </c>
      <c r="D7" s="4">
        <v>25</v>
      </c>
      <c r="E7" s="1">
        <v>4</v>
      </c>
      <c r="G7">
        <v>1005</v>
      </c>
      <c r="H7" t="s">
        <v>8</v>
      </c>
      <c r="I7">
        <v>25</v>
      </c>
      <c r="J7">
        <v>4</v>
      </c>
      <c r="L7" s="2"/>
      <c r="M7" s="3"/>
      <c r="N7" s="4"/>
      <c r="O7" s="1"/>
    </row>
    <row r="8" spans="2:15" ht="18.75" x14ac:dyDescent="0.3">
      <c r="B8" s="2">
        <v>1006</v>
      </c>
      <c r="C8" s="3" t="s">
        <v>9</v>
      </c>
      <c r="D8" s="4">
        <v>15</v>
      </c>
      <c r="E8" s="1">
        <v>6</v>
      </c>
      <c r="G8">
        <v>1006</v>
      </c>
      <c r="H8" t="s">
        <v>9</v>
      </c>
      <c r="I8">
        <v>15</v>
      </c>
      <c r="J8">
        <v>6</v>
      </c>
      <c r="L8" s="2"/>
      <c r="M8" s="3"/>
      <c r="N8" s="4"/>
      <c r="O8" s="1"/>
    </row>
    <row r="9" spans="2:15" ht="18.75" x14ac:dyDescent="0.3">
      <c r="B9" s="2">
        <v>1007</v>
      </c>
      <c r="C9" s="3" t="s">
        <v>10</v>
      </c>
      <c r="D9" s="4">
        <v>8</v>
      </c>
      <c r="E9" s="1">
        <v>8</v>
      </c>
      <c r="G9">
        <v>1007</v>
      </c>
      <c r="H9" t="s">
        <v>10</v>
      </c>
      <c r="I9">
        <v>8</v>
      </c>
      <c r="J9">
        <v>8</v>
      </c>
      <c r="L9" s="2"/>
      <c r="M9" s="3"/>
      <c r="N9" s="4"/>
      <c r="O9" s="1"/>
    </row>
    <row r="10" spans="2:15" ht="18.75" x14ac:dyDescent="0.3">
      <c r="B10" s="2">
        <v>1008</v>
      </c>
      <c r="C10" s="3" t="s">
        <v>11</v>
      </c>
      <c r="D10" s="4">
        <v>40</v>
      </c>
      <c r="E10" s="1">
        <v>2</v>
      </c>
      <c r="G10">
        <v>1008</v>
      </c>
      <c r="H10" t="s">
        <v>11</v>
      </c>
      <c r="I10">
        <v>40</v>
      </c>
      <c r="J10">
        <v>2</v>
      </c>
      <c r="L10" s="2"/>
      <c r="M10" s="3"/>
      <c r="N10" s="4"/>
      <c r="O10" s="1"/>
    </row>
    <row r="14" spans="2:15" ht="18.75" x14ac:dyDescent="0.3">
      <c r="B14" s="5" t="s">
        <v>0</v>
      </c>
      <c r="C14" s="2">
        <v>1001</v>
      </c>
      <c r="D14" s="2">
        <v>1002</v>
      </c>
      <c r="E14" s="2">
        <v>1003</v>
      </c>
      <c r="F14" s="2">
        <v>1004</v>
      </c>
      <c r="G14" s="2">
        <v>1005</v>
      </c>
      <c r="H14" s="2">
        <v>1006</v>
      </c>
      <c r="I14" s="2">
        <v>1007</v>
      </c>
      <c r="J14" s="2">
        <v>1008</v>
      </c>
    </row>
    <row r="15" spans="2:15" ht="18.75" x14ac:dyDescent="0.3">
      <c r="B15" s="5" t="s">
        <v>1</v>
      </c>
      <c r="C15" s="3" t="s">
        <v>4</v>
      </c>
      <c r="D15" s="3" t="s">
        <v>5</v>
      </c>
      <c r="E15" s="3" t="s">
        <v>6</v>
      </c>
      <c r="F15" s="3" t="s">
        <v>7</v>
      </c>
      <c r="G15" s="3" t="s">
        <v>8</v>
      </c>
      <c r="H15" s="3" t="s">
        <v>9</v>
      </c>
      <c r="I15" s="3" t="s">
        <v>10</v>
      </c>
      <c r="J15" s="3" t="s">
        <v>11</v>
      </c>
    </row>
    <row r="16" spans="2:15" ht="18.75" x14ac:dyDescent="0.3">
      <c r="B16" s="5" t="s">
        <v>2</v>
      </c>
      <c r="C16" s="4">
        <v>10</v>
      </c>
      <c r="D16" s="4">
        <v>5</v>
      </c>
      <c r="E16" s="4">
        <v>50</v>
      </c>
      <c r="F16" s="4">
        <v>3</v>
      </c>
      <c r="G16" s="4">
        <v>25</v>
      </c>
      <c r="H16" s="4">
        <v>15</v>
      </c>
      <c r="I16" s="4">
        <v>8</v>
      </c>
      <c r="J16" s="4">
        <v>40</v>
      </c>
    </row>
    <row r="17" spans="2:10" ht="18.75" x14ac:dyDescent="0.3">
      <c r="B17" s="5" t="s">
        <v>3</v>
      </c>
      <c r="C17" s="1">
        <v>5</v>
      </c>
      <c r="D17" s="1">
        <v>10</v>
      </c>
      <c r="E17" s="1">
        <v>3</v>
      </c>
      <c r="F17" s="1">
        <v>20</v>
      </c>
      <c r="G17" s="1">
        <v>4</v>
      </c>
      <c r="H17" s="1">
        <v>6</v>
      </c>
      <c r="I17" s="1">
        <v>8</v>
      </c>
      <c r="J17" s="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41DCF-EB99-4CDD-927C-607D858C09F2}">
  <dimension ref="D2:Q22"/>
  <sheetViews>
    <sheetView workbookViewId="0">
      <selection activeCell="K7" sqref="K7"/>
    </sheetView>
  </sheetViews>
  <sheetFormatPr defaultRowHeight="15" x14ac:dyDescent="0.25"/>
  <cols>
    <col min="4" max="4" width="11.5703125" bestFit="1" customWidth="1"/>
    <col min="5" max="5" width="11.42578125" bestFit="1" customWidth="1"/>
    <col min="6" max="6" width="11.5703125" bestFit="1" customWidth="1"/>
    <col min="7" max="7" width="8.28515625" bestFit="1" customWidth="1"/>
    <col min="11" max="11" width="10" bestFit="1" customWidth="1"/>
  </cols>
  <sheetData>
    <row r="2" spans="4:17" x14ac:dyDescent="0.25">
      <c r="D2" s="8" t="s">
        <v>12</v>
      </c>
      <c r="E2" s="8" t="s">
        <v>12</v>
      </c>
      <c r="F2" s="8" t="s">
        <v>12</v>
      </c>
      <c r="G2" s="8" t="s">
        <v>12</v>
      </c>
      <c r="I2">
        <v>10</v>
      </c>
      <c r="J2">
        <v>10</v>
      </c>
      <c r="M2">
        <v>10</v>
      </c>
      <c r="N2">
        <v>10</v>
      </c>
      <c r="O2">
        <v>10</v>
      </c>
      <c r="P2">
        <v>10</v>
      </c>
      <c r="Q2">
        <v>10</v>
      </c>
    </row>
    <row r="3" spans="4:17" x14ac:dyDescent="0.25">
      <c r="D3" s="8" t="s">
        <v>13</v>
      </c>
      <c r="E3" s="6" t="s">
        <v>13</v>
      </c>
      <c r="F3" s="8" t="s">
        <v>13</v>
      </c>
      <c r="G3" s="6"/>
      <c r="I3">
        <v>10</v>
      </c>
      <c r="J3">
        <v>20</v>
      </c>
      <c r="M3">
        <v>10</v>
      </c>
      <c r="N3">
        <v>10</v>
      </c>
      <c r="O3">
        <v>10</v>
      </c>
      <c r="P3">
        <v>10</v>
      </c>
      <c r="Q3">
        <v>10</v>
      </c>
    </row>
    <row r="4" spans="4:17" x14ac:dyDescent="0.25">
      <c r="D4" s="8" t="s">
        <v>14</v>
      </c>
      <c r="E4" s="6" t="s">
        <v>14</v>
      </c>
      <c r="F4" s="8" t="s">
        <v>14</v>
      </c>
      <c r="G4" s="6"/>
      <c r="I4">
        <v>10</v>
      </c>
      <c r="J4">
        <v>30</v>
      </c>
      <c r="M4">
        <v>10</v>
      </c>
      <c r="N4">
        <v>10</v>
      </c>
      <c r="O4">
        <v>10</v>
      </c>
      <c r="P4">
        <v>10</v>
      </c>
      <c r="Q4">
        <v>10</v>
      </c>
    </row>
    <row r="5" spans="4:17" x14ac:dyDescent="0.25">
      <c r="D5" s="8" t="s">
        <v>15</v>
      </c>
      <c r="E5" s="6" t="s">
        <v>15</v>
      </c>
      <c r="F5" s="8" t="s">
        <v>15</v>
      </c>
      <c r="G5" s="6"/>
      <c r="I5">
        <v>10</v>
      </c>
      <c r="J5">
        <v>40</v>
      </c>
      <c r="M5">
        <v>10</v>
      </c>
      <c r="N5">
        <v>10</v>
      </c>
      <c r="O5">
        <v>10</v>
      </c>
      <c r="P5">
        <v>10</v>
      </c>
      <c r="Q5">
        <v>10</v>
      </c>
    </row>
    <row r="6" spans="4:17" x14ac:dyDescent="0.25">
      <c r="D6" s="8" t="s">
        <v>16</v>
      </c>
      <c r="E6" s="6" t="s">
        <v>16</v>
      </c>
      <c r="F6" s="8" t="s">
        <v>16</v>
      </c>
      <c r="G6" s="6"/>
      <c r="I6">
        <v>10</v>
      </c>
      <c r="J6">
        <v>50</v>
      </c>
      <c r="M6">
        <v>10</v>
      </c>
      <c r="N6">
        <v>10</v>
      </c>
      <c r="O6">
        <v>10</v>
      </c>
      <c r="P6">
        <v>10</v>
      </c>
      <c r="Q6">
        <v>10</v>
      </c>
    </row>
    <row r="7" spans="4:17" x14ac:dyDescent="0.25">
      <c r="D7" s="8" t="s">
        <v>17</v>
      </c>
      <c r="E7" s="6" t="s">
        <v>17</v>
      </c>
      <c r="F7" s="8" t="s">
        <v>12</v>
      </c>
      <c r="G7" s="6"/>
      <c r="I7">
        <v>10</v>
      </c>
      <c r="J7">
        <v>60</v>
      </c>
      <c r="M7">
        <v>10</v>
      </c>
      <c r="N7">
        <v>10</v>
      </c>
      <c r="O7">
        <v>10</v>
      </c>
      <c r="P7">
        <v>10</v>
      </c>
      <c r="Q7">
        <v>10</v>
      </c>
    </row>
    <row r="8" spans="4:17" x14ac:dyDescent="0.25">
      <c r="D8" s="8" t="s">
        <v>18</v>
      </c>
      <c r="E8" s="6" t="s">
        <v>18</v>
      </c>
      <c r="F8" s="8" t="s">
        <v>13</v>
      </c>
      <c r="G8" s="6"/>
      <c r="I8">
        <v>10</v>
      </c>
      <c r="J8">
        <v>70</v>
      </c>
      <c r="M8">
        <v>10</v>
      </c>
      <c r="N8">
        <v>10</v>
      </c>
      <c r="O8">
        <v>10</v>
      </c>
      <c r="P8">
        <v>10</v>
      </c>
      <c r="Q8">
        <v>10</v>
      </c>
    </row>
    <row r="9" spans="4:17" x14ac:dyDescent="0.25">
      <c r="I9">
        <v>10</v>
      </c>
      <c r="J9">
        <v>80</v>
      </c>
      <c r="M9">
        <v>10</v>
      </c>
      <c r="N9">
        <v>10</v>
      </c>
      <c r="O9">
        <v>10</v>
      </c>
      <c r="P9">
        <v>10</v>
      </c>
      <c r="Q9">
        <v>10</v>
      </c>
    </row>
    <row r="10" spans="4:17" x14ac:dyDescent="0.25">
      <c r="I10">
        <v>10</v>
      </c>
      <c r="J10">
        <v>90</v>
      </c>
      <c r="M10">
        <v>10</v>
      </c>
      <c r="N10">
        <v>10</v>
      </c>
      <c r="O10">
        <v>10</v>
      </c>
      <c r="P10">
        <v>10</v>
      </c>
      <c r="Q10">
        <v>10</v>
      </c>
    </row>
    <row r="11" spans="4:17" x14ac:dyDescent="0.25">
      <c r="I11">
        <v>10</v>
      </c>
      <c r="J11">
        <v>100</v>
      </c>
      <c r="M11">
        <v>10</v>
      </c>
      <c r="N11">
        <v>10</v>
      </c>
      <c r="O11">
        <v>10</v>
      </c>
      <c r="P11">
        <v>10</v>
      </c>
      <c r="Q11">
        <v>10</v>
      </c>
    </row>
    <row r="12" spans="4:17" x14ac:dyDescent="0.25">
      <c r="I12">
        <v>10</v>
      </c>
      <c r="J12">
        <v>110</v>
      </c>
    </row>
    <row r="16" spans="4:17" x14ac:dyDescent="0.25">
      <c r="F16" t="s">
        <v>19</v>
      </c>
      <c r="I16" t="s">
        <v>26</v>
      </c>
      <c r="K16" t="s">
        <v>30</v>
      </c>
    </row>
    <row r="17" spans="6:11" x14ac:dyDescent="0.25">
      <c r="F17" t="s">
        <v>20</v>
      </c>
      <c r="I17" t="s">
        <v>27</v>
      </c>
      <c r="K17" t="s">
        <v>31</v>
      </c>
    </row>
    <row r="18" spans="6:11" x14ac:dyDescent="0.25">
      <c r="F18" t="s">
        <v>21</v>
      </c>
      <c r="I18" t="s">
        <v>28</v>
      </c>
      <c r="K18" t="s">
        <v>32</v>
      </c>
    </row>
    <row r="19" spans="6:11" x14ac:dyDescent="0.25">
      <c r="F19" t="s">
        <v>22</v>
      </c>
      <c r="I19" t="s">
        <v>29</v>
      </c>
      <c r="K19" t="s">
        <v>33</v>
      </c>
    </row>
    <row r="20" spans="6:11" x14ac:dyDescent="0.25">
      <c r="F20" t="s">
        <v>23</v>
      </c>
      <c r="I20" t="s">
        <v>26</v>
      </c>
    </row>
    <row r="21" spans="6:11" x14ac:dyDescent="0.25">
      <c r="F21" t="s">
        <v>24</v>
      </c>
    </row>
    <row r="22" spans="6:11" x14ac:dyDescent="0.25">
      <c r="F22" t="s">
        <v>25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100B-84C2-42F4-8AB9-001231F06095}">
  <dimension ref="A1:Q5"/>
  <sheetViews>
    <sheetView workbookViewId="0">
      <selection activeCell="Q3" sqref="Q3"/>
    </sheetView>
  </sheetViews>
  <sheetFormatPr defaultRowHeight="15" x14ac:dyDescent="0.25"/>
  <cols>
    <col min="1" max="1" width="12.5703125" bestFit="1" customWidth="1"/>
    <col min="2" max="2" width="11.5703125" bestFit="1" customWidth="1"/>
    <col min="5" max="5" width="12.5703125" bestFit="1" customWidth="1"/>
    <col min="6" max="6" width="11.140625" bestFit="1" customWidth="1"/>
    <col min="14" max="14" width="10.5703125" bestFit="1" customWidth="1"/>
    <col min="15" max="15" width="10.140625" bestFit="1" customWidth="1"/>
    <col min="16" max="16" width="11" bestFit="1" customWidth="1"/>
    <col min="17" max="17" width="11.42578125" bestFit="1" customWidth="1"/>
  </cols>
  <sheetData>
    <row r="1" spans="1:17" x14ac:dyDescent="0.25">
      <c r="A1" s="7" t="s">
        <v>34</v>
      </c>
      <c r="B1" s="7" t="s">
        <v>36</v>
      </c>
      <c r="E1" s="7" t="s">
        <v>34</v>
      </c>
      <c r="F1" s="7" t="s">
        <v>41</v>
      </c>
      <c r="H1" s="7" t="s">
        <v>42</v>
      </c>
      <c r="I1" s="7" t="s">
        <v>47</v>
      </c>
      <c r="K1" s="7" t="s">
        <v>42</v>
      </c>
      <c r="L1" s="9" t="s">
        <v>52</v>
      </c>
      <c r="N1" s="7" t="s">
        <v>54</v>
      </c>
      <c r="O1" s="9" t="s">
        <v>53</v>
      </c>
      <c r="P1" s="9" t="s">
        <v>59</v>
      </c>
      <c r="Q1" s="9" t="s">
        <v>64</v>
      </c>
    </row>
    <row r="2" spans="1:17" x14ac:dyDescent="0.25">
      <c r="A2" s="6" t="s">
        <v>35</v>
      </c>
      <c r="B2" s="6">
        <v>101</v>
      </c>
      <c r="E2" s="6" t="s">
        <v>39</v>
      </c>
      <c r="F2" s="6">
        <v>101</v>
      </c>
      <c r="H2" s="6" t="s">
        <v>43</v>
      </c>
      <c r="I2" s="6" t="s">
        <v>48</v>
      </c>
      <c r="K2" s="6" t="s">
        <v>43</v>
      </c>
      <c r="L2" s="6" t="str">
        <f>UPPER(K2)</f>
        <v>NISHA</v>
      </c>
      <c r="N2" s="6" t="s">
        <v>43</v>
      </c>
      <c r="O2" s="6" t="s">
        <v>55</v>
      </c>
      <c r="P2" s="10" t="s">
        <v>60</v>
      </c>
      <c r="Q2" s="6" t="str">
        <f>_xlfn.CONCAT(N2," ",O2)</f>
        <v>Nisha Roy</v>
      </c>
    </row>
    <row r="3" spans="1:17" x14ac:dyDescent="0.25">
      <c r="A3" s="6" t="s">
        <v>40</v>
      </c>
      <c r="B3" s="6">
        <v>109</v>
      </c>
      <c r="E3" s="6" t="s">
        <v>40</v>
      </c>
      <c r="F3" s="6">
        <v>543</v>
      </c>
      <c r="H3" s="6" t="s">
        <v>44</v>
      </c>
      <c r="I3" s="6" t="s">
        <v>49</v>
      </c>
      <c r="K3" s="6" t="s">
        <v>44</v>
      </c>
      <c r="L3" s="6" t="str">
        <f t="shared" ref="L3:L5" si="0">UPPER(K3)</f>
        <v>AMRITA</v>
      </c>
      <c r="N3" s="6" t="s">
        <v>44</v>
      </c>
      <c r="O3" s="6" t="s">
        <v>56</v>
      </c>
      <c r="P3" s="10" t="s">
        <v>61</v>
      </c>
      <c r="Q3" s="6" t="str">
        <f t="shared" ref="Q3:Q5" si="1">_xlfn.CONCAT(N3," ",O3)</f>
        <v>Amrita Das</v>
      </c>
    </row>
    <row r="4" spans="1:17" x14ac:dyDescent="0.25">
      <c r="A4" s="6" t="s">
        <v>37</v>
      </c>
      <c r="B4" s="6">
        <v>345</v>
      </c>
      <c r="E4" s="6" t="s">
        <v>37</v>
      </c>
      <c r="F4" s="6">
        <v>343</v>
      </c>
      <c r="H4" s="6" t="s">
        <v>45</v>
      </c>
      <c r="I4" s="6" t="s">
        <v>50</v>
      </c>
      <c r="K4" s="6" t="s">
        <v>45</v>
      </c>
      <c r="L4" s="6" t="str">
        <f t="shared" si="0"/>
        <v>ARNAB</v>
      </c>
      <c r="N4" s="6" t="s">
        <v>45</v>
      </c>
      <c r="O4" s="6" t="s">
        <v>57</v>
      </c>
      <c r="P4" s="10" t="s">
        <v>62</v>
      </c>
      <c r="Q4" s="6" t="str">
        <f t="shared" si="1"/>
        <v>Arnab Sahu</v>
      </c>
    </row>
    <row r="5" spans="1:17" x14ac:dyDescent="0.25">
      <c r="A5" s="6" t="s">
        <v>38</v>
      </c>
      <c r="B5" s="6">
        <v>564</v>
      </c>
      <c r="E5" s="6" t="s">
        <v>38</v>
      </c>
      <c r="F5" s="6">
        <v>512</v>
      </c>
      <c r="H5" s="6" t="s">
        <v>46</v>
      </c>
      <c r="I5" s="6" t="s">
        <v>51</v>
      </c>
      <c r="K5" s="6" t="s">
        <v>46</v>
      </c>
      <c r="L5" s="6" t="str">
        <f t="shared" si="0"/>
        <v>ASHIS</v>
      </c>
      <c r="N5" s="6" t="s">
        <v>46</v>
      </c>
      <c r="O5" s="6" t="s">
        <v>58</v>
      </c>
      <c r="P5" s="10" t="s">
        <v>63</v>
      </c>
      <c r="Q5" s="6" t="str">
        <f t="shared" si="1"/>
        <v>Ashis Pal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DFAAD-110C-4FF1-8874-939BE1005912}">
  <dimension ref="A1:AF373"/>
  <sheetViews>
    <sheetView topLeftCell="N1" workbookViewId="0">
      <pane ySplit="1" topLeftCell="A2" activePane="bottomLeft" state="frozen"/>
      <selection pane="bottomLeft" activeCell="W10" sqref="W10"/>
    </sheetView>
  </sheetViews>
  <sheetFormatPr defaultRowHeight="15" x14ac:dyDescent="0.25"/>
  <cols>
    <col min="1" max="1" width="8.42578125" bestFit="1" customWidth="1"/>
    <col min="2" max="2" width="11.85546875" bestFit="1" customWidth="1"/>
    <col min="3" max="3" width="10.7109375" bestFit="1" customWidth="1"/>
    <col min="4" max="4" width="10.42578125" bestFit="1" customWidth="1"/>
    <col min="5" max="5" width="10.5703125" bestFit="1" customWidth="1"/>
    <col min="6" max="6" width="12" bestFit="1" customWidth="1"/>
    <col min="7" max="7" width="13.42578125" bestFit="1" customWidth="1"/>
    <col min="8" max="8" width="16.42578125" bestFit="1" customWidth="1"/>
    <col min="9" max="9" width="16.28515625" bestFit="1" customWidth="1"/>
    <col min="10" max="10" width="13.7109375" bestFit="1" customWidth="1"/>
    <col min="11" max="11" width="7.42578125" bestFit="1" customWidth="1"/>
    <col min="12" max="12" width="9.85546875" bestFit="1" customWidth="1"/>
    <col min="13" max="13" width="9.5703125" bestFit="1" customWidth="1"/>
    <col min="14" max="14" width="12.28515625" customWidth="1"/>
    <col min="15" max="15" width="10.7109375" bestFit="1" customWidth="1"/>
    <col min="16" max="16" width="16.5703125" customWidth="1"/>
    <col min="17" max="17" width="22" customWidth="1"/>
    <col min="18" max="18" width="11" customWidth="1"/>
    <col min="19" max="19" width="11.5703125" customWidth="1"/>
    <col min="20" max="20" width="12.42578125" customWidth="1"/>
    <col min="22" max="22" width="34" bestFit="1" customWidth="1"/>
    <col min="23" max="23" width="29.140625" customWidth="1"/>
    <col min="24" max="24" width="17.140625" customWidth="1"/>
    <col min="32" max="32" width="15.5703125" customWidth="1"/>
  </cols>
  <sheetData>
    <row r="1" spans="1:32" x14ac:dyDescent="0.25">
      <c r="A1" s="7" t="s">
        <v>0</v>
      </c>
      <c r="B1" s="7" t="s">
        <v>65</v>
      </c>
      <c r="C1" s="7" t="s">
        <v>66</v>
      </c>
      <c r="D1" s="7" t="s">
        <v>67</v>
      </c>
      <c r="E1" s="7" t="s">
        <v>68</v>
      </c>
      <c r="F1" s="7" t="s">
        <v>69</v>
      </c>
      <c r="G1" s="7" t="s">
        <v>70</v>
      </c>
      <c r="H1" s="7" t="s">
        <v>71</v>
      </c>
      <c r="I1" s="7" t="s">
        <v>72</v>
      </c>
      <c r="J1" s="7" t="s">
        <v>73</v>
      </c>
      <c r="K1" s="7" t="s">
        <v>74</v>
      </c>
      <c r="L1" s="7" t="s">
        <v>75</v>
      </c>
      <c r="M1" s="7" t="s">
        <v>76</v>
      </c>
      <c r="N1" s="7" t="s">
        <v>179</v>
      </c>
      <c r="O1" s="7" t="s">
        <v>77</v>
      </c>
      <c r="P1" s="14" t="s">
        <v>181</v>
      </c>
      <c r="Q1" s="14" t="s">
        <v>180</v>
      </c>
      <c r="R1" s="12" t="s">
        <v>136</v>
      </c>
      <c r="S1" s="12" t="s">
        <v>137</v>
      </c>
      <c r="T1" s="12" t="s">
        <v>138</v>
      </c>
    </row>
    <row r="2" spans="1:32" x14ac:dyDescent="0.25">
      <c r="A2" s="6">
        <v>10001</v>
      </c>
      <c r="B2" s="6">
        <v>1102</v>
      </c>
      <c r="C2" s="11">
        <v>45197</v>
      </c>
      <c r="D2" s="11">
        <v>45203</v>
      </c>
      <c r="E2" s="6" t="s">
        <v>78</v>
      </c>
      <c r="F2" s="6" t="s">
        <v>79</v>
      </c>
      <c r="G2" s="6" t="s">
        <v>80</v>
      </c>
      <c r="H2" s="6" t="s">
        <v>81</v>
      </c>
      <c r="I2" s="6" t="s">
        <v>82</v>
      </c>
      <c r="J2" s="6" t="s">
        <v>83</v>
      </c>
      <c r="K2" s="6" t="s">
        <v>84</v>
      </c>
      <c r="L2" s="6">
        <v>7</v>
      </c>
      <c r="M2" s="6">
        <v>2843.87</v>
      </c>
      <c r="N2" s="13">
        <f>L2*M2</f>
        <v>19907.09</v>
      </c>
      <c r="O2" s="6">
        <v>0</v>
      </c>
      <c r="P2" s="6">
        <f>N2*O2%</f>
        <v>0</v>
      </c>
      <c r="Q2" s="6">
        <f>N2-P2</f>
        <v>19907.09</v>
      </c>
      <c r="R2" s="6" t="str">
        <f>IF(L2&gt;=5,"High Sale", "Low Sale")</f>
        <v>High Sale</v>
      </c>
      <c r="S2" s="6" t="str" cm="1">
        <f t="array" ref="S2">_xlfn.IFS(L2&gt;5,"High",L2=5,"Medium",L2&lt;5,"Low")</f>
        <v>High</v>
      </c>
      <c r="T2" s="6" t="str">
        <f>IF(L2&gt;5,"High",IF(L2=5,"Medium","Low"))</f>
        <v>High</v>
      </c>
    </row>
    <row r="3" spans="1:32" x14ac:dyDescent="0.25">
      <c r="A3" s="6">
        <v>10002</v>
      </c>
      <c r="B3" s="6">
        <v>1435</v>
      </c>
      <c r="C3" s="11">
        <v>45199</v>
      </c>
      <c r="D3" s="11">
        <v>45203</v>
      </c>
      <c r="E3" s="6" t="s">
        <v>85</v>
      </c>
      <c r="F3" s="6" t="s">
        <v>86</v>
      </c>
      <c r="G3" s="6" t="s">
        <v>87</v>
      </c>
      <c r="H3" s="6" t="s">
        <v>88</v>
      </c>
      <c r="I3" s="6" t="s">
        <v>89</v>
      </c>
      <c r="J3" s="6" t="s">
        <v>90</v>
      </c>
      <c r="K3" s="6" t="s">
        <v>91</v>
      </c>
      <c r="L3" s="6">
        <v>9</v>
      </c>
      <c r="M3" s="6">
        <v>2525.23</v>
      </c>
      <c r="N3" s="13">
        <f t="shared" ref="N3:N66" si="0">L3*M3</f>
        <v>22727.07</v>
      </c>
      <c r="O3" s="6">
        <v>5</v>
      </c>
      <c r="P3" s="6">
        <f t="shared" ref="P3:P66" si="1">N3*O3%</f>
        <v>1136.3534999999999</v>
      </c>
      <c r="Q3" s="6">
        <f t="shared" ref="Q3:Q66" si="2">N3-P3</f>
        <v>21590.716499999999</v>
      </c>
      <c r="R3" s="6" t="str">
        <f t="shared" ref="R3:R66" si="3">IF(L3&gt;=5,"High Sale", "Low Sale")</f>
        <v>High Sale</v>
      </c>
      <c r="S3" s="6" t="str" cm="1">
        <f t="array" ref="S3">_xlfn.IFS(L3&gt;5,"High",L3=5,"Medium",L3&lt;5,"Low")</f>
        <v>High</v>
      </c>
      <c r="T3" s="6" t="str">
        <f t="shared" ref="T3:T66" si="4">IF(L3&gt;5,"High",IF(L3=5,"Medium","Low"))</f>
        <v>High</v>
      </c>
      <c r="V3" s="7" t="s">
        <v>173</v>
      </c>
      <c r="W3" s="7">
        <f>COUNT(A2:A373)</f>
        <v>372</v>
      </c>
      <c r="AB3" s="6" t="s">
        <v>84</v>
      </c>
      <c r="AC3">
        <v>1</v>
      </c>
      <c r="AF3" s="6" t="s">
        <v>89</v>
      </c>
    </row>
    <row r="4" spans="1:32" x14ac:dyDescent="0.25">
      <c r="A4" s="6">
        <v>10003</v>
      </c>
      <c r="B4" s="6">
        <v>1860</v>
      </c>
      <c r="C4" s="11">
        <v>45109</v>
      </c>
      <c r="D4" s="11">
        <v>45114</v>
      </c>
      <c r="E4" s="6" t="s">
        <v>78</v>
      </c>
      <c r="F4" s="6" t="s">
        <v>92</v>
      </c>
      <c r="G4" s="6" t="s">
        <v>93</v>
      </c>
      <c r="H4" s="6" t="s">
        <v>88</v>
      </c>
      <c r="I4" s="6" t="s">
        <v>94</v>
      </c>
      <c r="J4" s="6" t="s">
        <v>95</v>
      </c>
      <c r="K4" s="6" t="s">
        <v>96</v>
      </c>
      <c r="L4" s="6">
        <v>6</v>
      </c>
      <c r="M4" s="6">
        <v>3474.34</v>
      </c>
      <c r="N4" s="13">
        <f t="shared" si="0"/>
        <v>20846.04</v>
      </c>
      <c r="O4" s="6">
        <v>15</v>
      </c>
      <c r="P4" s="6">
        <f t="shared" si="1"/>
        <v>3126.9059999999999</v>
      </c>
      <c r="Q4" s="6">
        <f t="shared" si="2"/>
        <v>17719.134000000002</v>
      </c>
      <c r="R4" s="6" t="str">
        <f t="shared" si="3"/>
        <v>High Sale</v>
      </c>
      <c r="S4" s="6" t="str" cm="1">
        <f t="array" ref="S4">_xlfn.IFS(L4&gt;5,"High",L4=5,"Medium",L4&lt;5,"Low")</f>
        <v>High</v>
      </c>
      <c r="T4" s="6" t="str">
        <f t="shared" si="4"/>
        <v>High</v>
      </c>
      <c r="V4" s="7" t="s">
        <v>175</v>
      </c>
      <c r="W4" s="7">
        <f>COUNTIF(L2:L373,"&gt;5")</f>
        <v>169</v>
      </c>
      <c r="AB4" s="6" t="s">
        <v>91</v>
      </c>
      <c r="AC4">
        <v>2</v>
      </c>
      <c r="AF4" s="6" t="s">
        <v>94</v>
      </c>
    </row>
    <row r="5" spans="1:32" x14ac:dyDescent="0.25">
      <c r="A5" s="6">
        <v>10004</v>
      </c>
      <c r="B5" s="6">
        <v>1270</v>
      </c>
      <c r="C5" s="11">
        <v>45079</v>
      </c>
      <c r="D5" s="11">
        <v>45087</v>
      </c>
      <c r="E5" s="6" t="s">
        <v>97</v>
      </c>
      <c r="F5" s="6" t="s">
        <v>92</v>
      </c>
      <c r="G5" s="6" t="s">
        <v>87</v>
      </c>
      <c r="H5" s="6" t="s">
        <v>98</v>
      </c>
      <c r="I5" s="6" t="s">
        <v>89</v>
      </c>
      <c r="J5" s="6" t="s">
        <v>99</v>
      </c>
      <c r="K5" s="6" t="s">
        <v>84</v>
      </c>
      <c r="L5" s="6">
        <v>1</v>
      </c>
      <c r="M5" s="6">
        <v>1008.79</v>
      </c>
      <c r="N5" s="13">
        <f t="shared" si="0"/>
        <v>1008.79</v>
      </c>
      <c r="O5" s="6">
        <v>15</v>
      </c>
      <c r="P5" s="6">
        <f t="shared" si="1"/>
        <v>151.3185</v>
      </c>
      <c r="Q5" s="6">
        <f t="shared" si="2"/>
        <v>857.47149999999999</v>
      </c>
      <c r="R5" s="6" t="str">
        <f t="shared" si="3"/>
        <v>Low Sale</v>
      </c>
      <c r="S5" s="6" t="str" cm="1">
        <f t="array" ref="S5">_xlfn.IFS(L5&gt;5,"High",L5=5,"Medium",L5&lt;5,"Low")</f>
        <v>Low</v>
      </c>
      <c r="T5" s="6" t="str">
        <f t="shared" si="4"/>
        <v>Low</v>
      </c>
      <c r="V5" s="7" t="s">
        <v>176</v>
      </c>
      <c r="W5" s="7">
        <f>COUNTIFS(K2:K373,"BrandA",L2:L373,"&gt;5")</f>
        <v>35</v>
      </c>
      <c r="AB5" s="6" t="s">
        <v>96</v>
      </c>
      <c r="AC5">
        <v>3</v>
      </c>
      <c r="AF5" s="6" t="s">
        <v>82</v>
      </c>
    </row>
    <row r="6" spans="1:32" x14ac:dyDescent="0.25">
      <c r="A6" s="6">
        <v>10005</v>
      </c>
      <c r="B6" s="6">
        <v>1106</v>
      </c>
      <c r="C6" s="11">
        <v>45241</v>
      </c>
      <c r="D6" s="11">
        <v>45244</v>
      </c>
      <c r="E6" s="6" t="s">
        <v>100</v>
      </c>
      <c r="F6" s="6" t="s">
        <v>101</v>
      </c>
      <c r="G6" s="6" t="s">
        <v>93</v>
      </c>
      <c r="H6" s="6" t="s">
        <v>81</v>
      </c>
      <c r="I6" s="6" t="s">
        <v>94</v>
      </c>
      <c r="J6" s="6" t="s">
        <v>102</v>
      </c>
      <c r="K6" s="6" t="s">
        <v>84</v>
      </c>
      <c r="L6" s="6">
        <v>7</v>
      </c>
      <c r="M6" s="6">
        <v>3511.47</v>
      </c>
      <c r="N6" s="13">
        <f t="shared" si="0"/>
        <v>24580.289999999997</v>
      </c>
      <c r="O6" s="6">
        <v>20</v>
      </c>
      <c r="P6" s="6">
        <f t="shared" si="1"/>
        <v>4916.058</v>
      </c>
      <c r="Q6" s="6">
        <f t="shared" si="2"/>
        <v>19664.231999999996</v>
      </c>
      <c r="R6" s="6" t="str">
        <f t="shared" si="3"/>
        <v>High Sale</v>
      </c>
      <c r="S6" s="6" t="str" cm="1">
        <f t="array" ref="S6">_xlfn.IFS(L6&gt;5,"High",L6=5,"Medium",L6&lt;5,"Low")</f>
        <v>High</v>
      </c>
      <c r="T6" s="6" t="str">
        <f t="shared" si="4"/>
        <v>High</v>
      </c>
      <c r="AB6" s="6" t="s">
        <v>108</v>
      </c>
      <c r="AC6">
        <v>4</v>
      </c>
      <c r="AF6" s="6" t="s">
        <v>112</v>
      </c>
    </row>
    <row r="7" spans="1:32" x14ac:dyDescent="0.25">
      <c r="A7" s="6">
        <v>10006</v>
      </c>
      <c r="B7" s="6">
        <v>1071</v>
      </c>
      <c r="C7" s="11">
        <v>45260</v>
      </c>
      <c r="D7" s="11">
        <v>45263</v>
      </c>
      <c r="E7" s="6" t="s">
        <v>103</v>
      </c>
      <c r="F7" s="6" t="s">
        <v>104</v>
      </c>
      <c r="G7" s="6" t="s">
        <v>87</v>
      </c>
      <c r="H7" s="6" t="s">
        <v>105</v>
      </c>
      <c r="I7" s="6" t="s">
        <v>82</v>
      </c>
      <c r="J7" s="6" t="s">
        <v>106</v>
      </c>
      <c r="K7" s="6" t="s">
        <v>96</v>
      </c>
      <c r="L7" s="6">
        <v>3</v>
      </c>
      <c r="M7" s="6">
        <v>3189.55</v>
      </c>
      <c r="N7" s="13">
        <f t="shared" si="0"/>
        <v>9568.6500000000015</v>
      </c>
      <c r="O7" s="6">
        <v>10</v>
      </c>
      <c r="P7" s="6">
        <f t="shared" si="1"/>
        <v>956.86500000000024</v>
      </c>
      <c r="Q7" s="6">
        <f t="shared" si="2"/>
        <v>8611.7850000000017</v>
      </c>
      <c r="R7" s="6" t="str">
        <f t="shared" si="3"/>
        <v>Low Sale</v>
      </c>
      <c r="S7" s="6" t="str" cm="1">
        <f t="array" ref="S7">_xlfn.IFS(L7&gt;5,"High",L7=5,"Medium",L7&lt;5,"Low")</f>
        <v>Low</v>
      </c>
      <c r="T7" s="6" t="str">
        <f t="shared" si="4"/>
        <v>Low</v>
      </c>
      <c r="V7" s="9" t="s">
        <v>74</v>
      </c>
      <c r="W7" s="7" t="s">
        <v>178</v>
      </c>
      <c r="X7" s="7" t="s">
        <v>177</v>
      </c>
      <c r="AB7" s="6" t="s">
        <v>110</v>
      </c>
      <c r="AC7">
        <v>5</v>
      </c>
      <c r="AF7" s="6" t="s">
        <v>115</v>
      </c>
    </row>
    <row r="8" spans="1:32" x14ac:dyDescent="0.25">
      <c r="A8" s="6">
        <v>10007</v>
      </c>
      <c r="B8" s="6">
        <v>1700</v>
      </c>
      <c r="C8" s="11">
        <v>45050</v>
      </c>
      <c r="D8" s="11">
        <v>45054</v>
      </c>
      <c r="E8" s="6" t="s">
        <v>97</v>
      </c>
      <c r="F8" s="6" t="s">
        <v>104</v>
      </c>
      <c r="G8" s="6" t="s">
        <v>80</v>
      </c>
      <c r="H8" s="6" t="s">
        <v>107</v>
      </c>
      <c r="I8" s="6" t="s">
        <v>94</v>
      </c>
      <c r="J8" s="6" t="s">
        <v>95</v>
      </c>
      <c r="K8" s="6" t="s">
        <v>108</v>
      </c>
      <c r="L8" s="6">
        <v>5</v>
      </c>
      <c r="M8" s="6">
        <v>3030.42</v>
      </c>
      <c r="N8" s="13">
        <f t="shared" si="0"/>
        <v>15152.1</v>
      </c>
      <c r="O8" s="6">
        <v>10</v>
      </c>
      <c r="P8" s="6">
        <f t="shared" si="1"/>
        <v>1515.21</v>
      </c>
      <c r="Q8" s="6">
        <f t="shared" si="2"/>
        <v>13636.89</v>
      </c>
      <c r="R8" s="6" t="str">
        <f t="shared" si="3"/>
        <v>High Sale</v>
      </c>
      <c r="S8" s="6" t="str" cm="1">
        <f t="array" ref="S8">_xlfn.IFS(L8&gt;5,"High",L8=5,"Medium",L8&lt;5,"Low")</f>
        <v>Medium</v>
      </c>
      <c r="T8" s="6" t="str">
        <f t="shared" si="4"/>
        <v>Medium</v>
      </c>
      <c r="V8" s="13" t="s">
        <v>108</v>
      </c>
      <c r="W8" s="13">
        <v>4</v>
      </c>
      <c r="X8" s="13">
        <f>COUNTIFS(K2:K373,V8,L2:L373,"&gt;="&amp;W8)</f>
        <v>51</v>
      </c>
      <c r="AC8">
        <v>6</v>
      </c>
      <c r="AF8" s="6" t="s">
        <v>120</v>
      </c>
    </row>
    <row r="9" spans="1:32" x14ac:dyDescent="0.25">
      <c r="A9" s="6">
        <v>10008</v>
      </c>
      <c r="B9" s="6">
        <v>1020</v>
      </c>
      <c r="C9" s="11">
        <v>45040</v>
      </c>
      <c r="D9" s="11">
        <v>45041</v>
      </c>
      <c r="E9" s="6" t="s">
        <v>109</v>
      </c>
      <c r="F9" s="6" t="s">
        <v>79</v>
      </c>
      <c r="G9" s="6" t="s">
        <v>87</v>
      </c>
      <c r="H9" s="6" t="s">
        <v>81</v>
      </c>
      <c r="I9" s="6" t="s">
        <v>94</v>
      </c>
      <c r="J9" s="6" t="s">
        <v>95</v>
      </c>
      <c r="K9" s="6" t="s">
        <v>110</v>
      </c>
      <c r="L9" s="6">
        <v>4</v>
      </c>
      <c r="M9" s="6">
        <v>2310.83</v>
      </c>
      <c r="N9" s="13">
        <f t="shared" si="0"/>
        <v>9243.32</v>
      </c>
      <c r="O9" s="6">
        <v>10</v>
      </c>
      <c r="P9" s="6">
        <f t="shared" si="1"/>
        <v>924.33199999999999</v>
      </c>
      <c r="Q9" s="6">
        <f t="shared" si="2"/>
        <v>8318.9879999999994</v>
      </c>
      <c r="R9" s="6" t="str">
        <f t="shared" si="3"/>
        <v>Low Sale</v>
      </c>
      <c r="S9" s="6" t="str" cm="1">
        <f t="array" ref="S9">_xlfn.IFS(L9&gt;5,"High",L9=5,"Medium",L9&lt;5,"Low")</f>
        <v>Low</v>
      </c>
      <c r="T9" s="6" t="str">
        <f t="shared" si="4"/>
        <v>Low</v>
      </c>
      <c r="AC9">
        <v>7</v>
      </c>
    </row>
    <row r="10" spans="1:32" x14ac:dyDescent="0.25">
      <c r="A10" s="6">
        <v>10009</v>
      </c>
      <c r="B10" s="6">
        <v>1614</v>
      </c>
      <c r="C10" s="11">
        <v>45204</v>
      </c>
      <c r="D10" s="11">
        <v>45213</v>
      </c>
      <c r="E10" s="6" t="s">
        <v>78</v>
      </c>
      <c r="F10" s="6" t="s">
        <v>92</v>
      </c>
      <c r="G10" s="6" t="s">
        <v>87</v>
      </c>
      <c r="H10" s="6" t="s">
        <v>88</v>
      </c>
      <c r="I10" s="6" t="s">
        <v>94</v>
      </c>
      <c r="J10" s="6" t="s">
        <v>111</v>
      </c>
      <c r="K10" s="6" t="s">
        <v>91</v>
      </c>
      <c r="L10" s="6">
        <v>5</v>
      </c>
      <c r="M10" s="6">
        <v>1098.04</v>
      </c>
      <c r="N10" s="13">
        <f t="shared" si="0"/>
        <v>5490.2</v>
      </c>
      <c r="O10" s="6">
        <v>15</v>
      </c>
      <c r="P10" s="6">
        <f t="shared" si="1"/>
        <v>823.53</v>
      </c>
      <c r="Q10" s="6">
        <f t="shared" si="2"/>
        <v>4666.67</v>
      </c>
      <c r="R10" s="6" t="str">
        <f t="shared" si="3"/>
        <v>High Sale</v>
      </c>
      <c r="S10" s="6" t="str" cm="1">
        <f t="array" ref="S10">_xlfn.IFS(L10&gt;5,"High",L10=5,"Medium",L10&lt;5,"Low")</f>
        <v>Medium</v>
      </c>
      <c r="T10" s="6" t="str">
        <f t="shared" si="4"/>
        <v>Medium</v>
      </c>
      <c r="V10" s="7" t="s">
        <v>184</v>
      </c>
      <c r="W10" s="7">
        <f>SUM(Q2:Q373)</f>
        <v>3286225.1535000009</v>
      </c>
      <c r="AC10">
        <v>8</v>
      </c>
    </row>
    <row r="11" spans="1:32" x14ac:dyDescent="0.25">
      <c r="A11" s="6">
        <v>10010</v>
      </c>
      <c r="B11" s="6">
        <v>1121</v>
      </c>
      <c r="C11" s="11">
        <v>45139</v>
      </c>
      <c r="D11" s="11">
        <v>45147</v>
      </c>
      <c r="E11" s="6" t="s">
        <v>97</v>
      </c>
      <c r="F11" s="6" t="s">
        <v>101</v>
      </c>
      <c r="G11" s="6" t="s">
        <v>87</v>
      </c>
      <c r="H11" s="6" t="s">
        <v>98</v>
      </c>
      <c r="I11" s="6" t="s">
        <v>112</v>
      </c>
      <c r="J11" s="6" t="s">
        <v>113</v>
      </c>
      <c r="K11" s="6" t="s">
        <v>110</v>
      </c>
      <c r="L11" s="6">
        <v>5</v>
      </c>
      <c r="M11" s="6">
        <v>1780.66</v>
      </c>
      <c r="N11" s="13">
        <f t="shared" si="0"/>
        <v>8903.3000000000011</v>
      </c>
      <c r="O11" s="6">
        <v>20</v>
      </c>
      <c r="P11" s="6">
        <f t="shared" si="1"/>
        <v>1780.6600000000003</v>
      </c>
      <c r="Q11" s="6">
        <f t="shared" si="2"/>
        <v>7122.6400000000012</v>
      </c>
      <c r="R11" s="6" t="str">
        <f t="shared" si="3"/>
        <v>High Sale</v>
      </c>
      <c r="S11" s="6" t="str" cm="1">
        <f t="array" ref="S11">_xlfn.IFS(L11&gt;5,"High",L11=5,"Medium",L11&lt;5,"Low")</f>
        <v>Medium</v>
      </c>
      <c r="T11" s="6" t="str">
        <f t="shared" si="4"/>
        <v>Medium</v>
      </c>
      <c r="AC11">
        <v>9</v>
      </c>
    </row>
    <row r="12" spans="1:32" x14ac:dyDescent="0.25">
      <c r="A12" s="6">
        <v>10011</v>
      </c>
      <c r="B12" s="6">
        <v>1466</v>
      </c>
      <c r="C12" s="11">
        <v>45098</v>
      </c>
      <c r="D12" s="11">
        <v>45106</v>
      </c>
      <c r="E12" s="6" t="s">
        <v>97</v>
      </c>
      <c r="F12" s="6" t="s">
        <v>101</v>
      </c>
      <c r="G12" s="6" t="s">
        <v>80</v>
      </c>
      <c r="H12" s="6" t="s">
        <v>98</v>
      </c>
      <c r="I12" s="6" t="s">
        <v>112</v>
      </c>
      <c r="J12" s="6" t="s">
        <v>113</v>
      </c>
      <c r="K12" s="6" t="s">
        <v>96</v>
      </c>
      <c r="L12" s="6">
        <v>6</v>
      </c>
      <c r="M12" s="6">
        <v>3205.25</v>
      </c>
      <c r="N12" s="13">
        <f t="shared" si="0"/>
        <v>19231.5</v>
      </c>
      <c r="O12" s="6">
        <v>0</v>
      </c>
      <c r="P12" s="6">
        <f t="shared" si="1"/>
        <v>0</v>
      </c>
      <c r="Q12" s="6">
        <f t="shared" si="2"/>
        <v>19231.5</v>
      </c>
      <c r="R12" s="6" t="str">
        <f t="shared" si="3"/>
        <v>High Sale</v>
      </c>
      <c r="S12" s="6" t="str" cm="1">
        <f t="array" ref="S12">_xlfn.IFS(L12&gt;5,"High",L12=5,"Medium",L12&lt;5,"Low")</f>
        <v>High</v>
      </c>
      <c r="T12" s="6" t="str">
        <f t="shared" si="4"/>
        <v>High</v>
      </c>
      <c r="V12" s="9" t="s">
        <v>74</v>
      </c>
      <c r="W12" s="7" t="s">
        <v>183</v>
      </c>
      <c r="AC12">
        <v>10</v>
      </c>
    </row>
    <row r="13" spans="1:32" x14ac:dyDescent="0.25">
      <c r="A13" s="6">
        <v>10012</v>
      </c>
      <c r="B13" s="6">
        <v>1214</v>
      </c>
      <c r="C13" s="11">
        <v>45214</v>
      </c>
      <c r="D13" s="11">
        <v>45220</v>
      </c>
      <c r="E13" s="6" t="s">
        <v>109</v>
      </c>
      <c r="F13" s="6" t="s">
        <v>86</v>
      </c>
      <c r="G13" s="6" t="s">
        <v>87</v>
      </c>
      <c r="H13" s="6" t="s">
        <v>107</v>
      </c>
      <c r="I13" s="6" t="s">
        <v>112</v>
      </c>
      <c r="J13" s="6" t="s">
        <v>114</v>
      </c>
      <c r="K13" s="6" t="s">
        <v>84</v>
      </c>
      <c r="L13" s="6">
        <v>6</v>
      </c>
      <c r="M13" s="6">
        <v>272.35000000000002</v>
      </c>
      <c r="N13" s="13">
        <f t="shared" si="0"/>
        <v>1634.1000000000001</v>
      </c>
      <c r="O13" s="6">
        <v>5</v>
      </c>
      <c r="P13" s="6">
        <f t="shared" si="1"/>
        <v>81.705000000000013</v>
      </c>
      <c r="Q13" s="6">
        <f t="shared" si="2"/>
        <v>1552.3950000000002</v>
      </c>
      <c r="R13" s="6" t="str">
        <f t="shared" si="3"/>
        <v>High Sale</v>
      </c>
      <c r="S13" s="6" t="str" cm="1">
        <f t="array" ref="S13">_xlfn.IFS(L13&gt;5,"High",L13=5,"Medium",L13&lt;5,"Low")</f>
        <v>High</v>
      </c>
      <c r="T13" s="6" t="str">
        <f t="shared" si="4"/>
        <v>High</v>
      </c>
      <c r="V13" s="13" t="s">
        <v>96</v>
      </c>
      <c r="W13" s="6">
        <f>SUMIF(K2:K373,V13,L2:L373)</f>
        <v>425</v>
      </c>
      <c r="AC13">
        <v>11</v>
      </c>
    </row>
    <row r="14" spans="1:32" x14ac:dyDescent="0.25">
      <c r="A14" s="6">
        <v>10013</v>
      </c>
      <c r="B14" s="6">
        <v>1330</v>
      </c>
      <c r="C14" s="11">
        <v>45100</v>
      </c>
      <c r="D14" s="11">
        <v>45107</v>
      </c>
      <c r="E14" s="6" t="s">
        <v>79</v>
      </c>
      <c r="F14" s="6" t="s">
        <v>86</v>
      </c>
      <c r="G14" s="6" t="s">
        <v>80</v>
      </c>
      <c r="H14" s="6" t="s">
        <v>98</v>
      </c>
      <c r="I14" s="6" t="s">
        <v>82</v>
      </c>
      <c r="J14" s="6" t="s">
        <v>106</v>
      </c>
      <c r="K14" s="6" t="s">
        <v>84</v>
      </c>
      <c r="L14" s="6">
        <v>8</v>
      </c>
      <c r="M14" s="6">
        <v>3160.9</v>
      </c>
      <c r="N14" s="13">
        <f t="shared" si="0"/>
        <v>25287.200000000001</v>
      </c>
      <c r="O14" s="6">
        <v>0</v>
      </c>
      <c r="P14" s="6">
        <f t="shared" si="1"/>
        <v>0</v>
      </c>
      <c r="Q14" s="6">
        <f t="shared" si="2"/>
        <v>25287.200000000001</v>
      </c>
      <c r="R14" s="6" t="str">
        <f t="shared" si="3"/>
        <v>High Sale</v>
      </c>
      <c r="S14" s="6" t="str" cm="1">
        <f t="array" ref="S14">_xlfn.IFS(L14&gt;5,"High",L14=5,"Medium",L14&lt;5,"Low")</f>
        <v>High</v>
      </c>
      <c r="T14" s="6" t="str">
        <f t="shared" si="4"/>
        <v>High</v>
      </c>
      <c r="AC14">
        <v>12</v>
      </c>
    </row>
    <row r="15" spans="1:32" x14ac:dyDescent="0.25">
      <c r="A15" s="6">
        <v>10014</v>
      </c>
      <c r="B15" s="6">
        <v>1458</v>
      </c>
      <c r="C15" s="11">
        <v>45039</v>
      </c>
      <c r="D15" s="11">
        <v>45045</v>
      </c>
      <c r="E15" s="6" t="s">
        <v>100</v>
      </c>
      <c r="F15" s="6" t="s">
        <v>101</v>
      </c>
      <c r="G15" s="6" t="s">
        <v>93</v>
      </c>
      <c r="H15" s="6" t="s">
        <v>98</v>
      </c>
      <c r="I15" s="6" t="s">
        <v>89</v>
      </c>
      <c r="J15" s="6" t="s">
        <v>99</v>
      </c>
      <c r="K15" s="6" t="s">
        <v>91</v>
      </c>
      <c r="L15" s="6">
        <v>8</v>
      </c>
      <c r="M15" s="6">
        <v>1074.27</v>
      </c>
      <c r="N15" s="13">
        <f t="shared" si="0"/>
        <v>8594.16</v>
      </c>
      <c r="O15" s="6">
        <v>15</v>
      </c>
      <c r="P15" s="6">
        <f t="shared" si="1"/>
        <v>1289.124</v>
      </c>
      <c r="Q15" s="6">
        <f t="shared" si="2"/>
        <v>7305.0360000000001</v>
      </c>
      <c r="R15" s="6" t="str">
        <f t="shared" si="3"/>
        <v>High Sale</v>
      </c>
      <c r="S15" s="6" t="str" cm="1">
        <f t="array" ref="S15">_xlfn.IFS(L15&gt;5,"High",L15=5,"Medium",L15&lt;5,"Low")</f>
        <v>High</v>
      </c>
      <c r="T15" s="6" t="str">
        <f t="shared" si="4"/>
        <v>High</v>
      </c>
      <c r="V15" s="7" t="s">
        <v>72</v>
      </c>
      <c r="W15" s="9" t="s">
        <v>74</v>
      </c>
      <c r="X15" s="7" t="s">
        <v>183</v>
      </c>
      <c r="AC15">
        <v>13</v>
      </c>
    </row>
    <row r="16" spans="1:32" x14ac:dyDescent="0.25">
      <c r="A16" s="6">
        <v>10015</v>
      </c>
      <c r="B16" s="6">
        <v>1087</v>
      </c>
      <c r="C16" s="11">
        <v>45048</v>
      </c>
      <c r="D16" s="11">
        <v>45057</v>
      </c>
      <c r="E16" s="6" t="s">
        <v>103</v>
      </c>
      <c r="F16" s="6" t="s">
        <v>86</v>
      </c>
      <c r="G16" s="6" t="s">
        <v>87</v>
      </c>
      <c r="H16" s="6" t="s">
        <v>81</v>
      </c>
      <c r="I16" s="6" t="s">
        <v>115</v>
      </c>
      <c r="J16" s="6" t="s">
        <v>116</v>
      </c>
      <c r="K16" s="6" t="s">
        <v>84</v>
      </c>
      <c r="L16" s="6">
        <v>9</v>
      </c>
      <c r="M16" s="6">
        <v>705.59</v>
      </c>
      <c r="N16" s="13">
        <f t="shared" si="0"/>
        <v>6350.31</v>
      </c>
      <c r="O16" s="6">
        <v>10</v>
      </c>
      <c r="P16" s="6">
        <f t="shared" si="1"/>
        <v>635.03100000000006</v>
      </c>
      <c r="Q16" s="6">
        <f t="shared" si="2"/>
        <v>5715.2790000000005</v>
      </c>
      <c r="R16" s="6" t="str">
        <f t="shared" si="3"/>
        <v>High Sale</v>
      </c>
      <c r="S16" s="6" t="str" cm="1">
        <f t="array" ref="S16">_xlfn.IFS(L16&gt;5,"High",L16=5,"Medium",L16&lt;5,"Low")</f>
        <v>High</v>
      </c>
      <c r="T16" s="6" t="str">
        <f t="shared" si="4"/>
        <v>High</v>
      </c>
      <c r="V16" s="13" t="s">
        <v>82</v>
      </c>
      <c r="W16" s="13" t="s">
        <v>84</v>
      </c>
      <c r="X16" s="13">
        <f>SUMIFS(L2:L373,I2:I373,V16,K2:K373,W16)</f>
        <v>39</v>
      </c>
      <c r="AC16">
        <v>14</v>
      </c>
    </row>
    <row r="17" spans="1:29" x14ac:dyDescent="0.25">
      <c r="A17" s="6">
        <v>10016</v>
      </c>
      <c r="B17" s="6">
        <v>1372</v>
      </c>
      <c r="C17" s="11">
        <v>44958</v>
      </c>
      <c r="D17" s="11">
        <v>44961</v>
      </c>
      <c r="E17" s="6" t="s">
        <v>85</v>
      </c>
      <c r="F17" s="6" t="s">
        <v>92</v>
      </c>
      <c r="G17" s="6" t="s">
        <v>80</v>
      </c>
      <c r="H17" s="6" t="s">
        <v>105</v>
      </c>
      <c r="I17" s="6" t="s">
        <v>94</v>
      </c>
      <c r="J17" s="6" t="s">
        <v>102</v>
      </c>
      <c r="K17" s="6" t="s">
        <v>84</v>
      </c>
      <c r="L17" s="6">
        <v>8</v>
      </c>
      <c r="M17" s="6">
        <v>595.45000000000005</v>
      </c>
      <c r="N17" s="13">
        <f t="shared" si="0"/>
        <v>4763.6000000000004</v>
      </c>
      <c r="O17" s="6">
        <v>5</v>
      </c>
      <c r="P17" s="6">
        <f t="shared" si="1"/>
        <v>238.18000000000004</v>
      </c>
      <c r="Q17" s="6">
        <f t="shared" si="2"/>
        <v>4525.42</v>
      </c>
      <c r="R17" s="6" t="str">
        <f t="shared" si="3"/>
        <v>High Sale</v>
      </c>
      <c r="S17" s="6" t="str" cm="1">
        <f t="array" ref="S17">_xlfn.IFS(L17&gt;5,"High",L17=5,"Medium",L17&lt;5,"Low")</f>
        <v>High</v>
      </c>
      <c r="T17" s="6" t="str">
        <f t="shared" si="4"/>
        <v>High</v>
      </c>
      <c r="AC17">
        <v>15</v>
      </c>
    </row>
    <row r="18" spans="1:29" x14ac:dyDescent="0.25">
      <c r="A18" s="6">
        <v>10017</v>
      </c>
      <c r="B18" s="6">
        <v>1099</v>
      </c>
      <c r="C18" s="11">
        <v>45148</v>
      </c>
      <c r="D18" s="11">
        <v>45151</v>
      </c>
      <c r="E18" s="6" t="s">
        <v>79</v>
      </c>
      <c r="F18" s="6" t="s">
        <v>117</v>
      </c>
      <c r="G18" s="6" t="s">
        <v>80</v>
      </c>
      <c r="H18" s="6" t="s">
        <v>107</v>
      </c>
      <c r="I18" s="6" t="s">
        <v>94</v>
      </c>
      <c r="J18" s="6" t="s">
        <v>102</v>
      </c>
      <c r="K18" s="6" t="s">
        <v>91</v>
      </c>
      <c r="L18" s="6">
        <v>2</v>
      </c>
      <c r="M18" s="6">
        <v>254.91</v>
      </c>
      <c r="N18" s="13">
        <f t="shared" si="0"/>
        <v>509.82</v>
      </c>
      <c r="O18" s="6">
        <v>15</v>
      </c>
      <c r="P18" s="6">
        <f t="shared" si="1"/>
        <v>76.472999999999999</v>
      </c>
      <c r="Q18" s="6">
        <f t="shared" si="2"/>
        <v>433.34699999999998</v>
      </c>
      <c r="R18" s="6" t="str">
        <f t="shared" si="3"/>
        <v>Low Sale</v>
      </c>
      <c r="S18" s="6" t="str" cm="1">
        <f t="array" ref="S18">_xlfn.IFS(L18&gt;5,"High",L18=5,"Medium",L18&lt;5,"Low")</f>
        <v>Low</v>
      </c>
      <c r="T18" s="6" t="str">
        <f t="shared" si="4"/>
        <v>Low</v>
      </c>
      <c r="V18" s="7" t="s">
        <v>186</v>
      </c>
      <c r="W18" s="7">
        <f>SUM(N2:N373)</f>
        <v>3664518.5400000005</v>
      </c>
      <c r="AC18">
        <v>16</v>
      </c>
    </row>
    <row r="19" spans="1:29" x14ac:dyDescent="0.25">
      <c r="A19" s="6">
        <v>10018</v>
      </c>
      <c r="B19" s="6">
        <v>1871</v>
      </c>
      <c r="C19" s="11">
        <v>45045</v>
      </c>
      <c r="D19" s="11">
        <v>45048</v>
      </c>
      <c r="E19" s="6" t="s">
        <v>78</v>
      </c>
      <c r="F19" s="6" t="s">
        <v>92</v>
      </c>
      <c r="G19" s="6" t="s">
        <v>87</v>
      </c>
      <c r="H19" s="6" t="s">
        <v>81</v>
      </c>
      <c r="I19" s="6" t="s">
        <v>82</v>
      </c>
      <c r="J19" s="6" t="s">
        <v>118</v>
      </c>
      <c r="K19" s="6" t="s">
        <v>91</v>
      </c>
      <c r="L19" s="6">
        <v>1</v>
      </c>
      <c r="M19" s="6">
        <v>2165.81</v>
      </c>
      <c r="N19" s="13">
        <f t="shared" si="0"/>
        <v>2165.81</v>
      </c>
      <c r="O19" s="6">
        <v>15</v>
      </c>
      <c r="P19" s="6">
        <f t="shared" si="1"/>
        <v>324.87149999999997</v>
      </c>
      <c r="Q19" s="6">
        <f t="shared" si="2"/>
        <v>1840.9385</v>
      </c>
      <c r="R19" s="6" t="str">
        <f t="shared" si="3"/>
        <v>Low Sale</v>
      </c>
      <c r="S19" s="6" t="str" cm="1">
        <f t="array" ref="S19">_xlfn.IFS(L19&gt;5,"High",L19=5,"Medium",L19&lt;5,"Low")</f>
        <v>Low</v>
      </c>
      <c r="T19" s="6" t="str">
        <f t="shared" si="4"/>
        <v>Low</v>
      </c>
    </row>
    <row r="20" spans="1:29" x14ac:dyDescent="0.25">
      <c r="A20" s="6">
        <v>10019</v>
      </c>
      <c r="B20" s="6">
        <v>1663</v>
      </c>
      <c r="C20" s="11">
        <v>44965</v>
      </c>
      <c r="D20" s="11">
        <v>44968</v>
      </c>
      <c r="E20" s="6" t="s">
        <v>97</v>
      </c>
      <c r="F20" s="6" t="s">
        <v>101</v>
      </c>
      <c r="G20" s="6" t="s">
        <v>93</v>
      </c>
      <c r="H20" s="6" t="s">
        <v>105</v>
      </c>
      <c r="I20" s="6" t="s">
        <v>94</v>
      </c>
      <c r="J20" s="6" t="s">
        <v>102</v>
      </c>
      <c r="K20" s="6" t="s">
        <v>96</v>
      </c>
      <c r="L20" s="6">
        <v>2</v>
      </c>
      <c r="M20" s="6">
        <v>990.3</v>
      </c>
      <c r="N20" s="13">
        <f t="shared" si="0"/>
        <v>1980.6</v>
      </c>
      <c r="O20" s="6">
        <v>15</v>
      </c>
      <c r="P20" s="6">
        <f t="shared" si="1"/>
        <v>297.08999999999997</v>
      </c>
      <c r="Q20" s="6">
        <f t="shared" si="2"/>
        <v>1683.51</v>
      </c>
      <c r="R20" s="6" t="str">
        <f t="shared" si="3"/>
        <v>Low Sale</v>
      </c>
      <c r="S20" s="6" t="str" cm="1">
        <f t="array" ref="S20">_xlfn.IFS(L20&gt;5,"High",L20=5,"Medium",L20&lt;5,"Low")</f>
        <v>Low</v>
      </c>
      <c r="T20" s="6" t="str">
        <f t="shared" si="4"/>
        <v>Low</v>
      </c>
      <c r="V20" s="7" t="s">
        <v>187</v>
      </c>
      <c r="W20" s="7">
        <f>SUMPRODUCT(L2:L373,M2:M373)</f>
        <v>3664518.5400000005</v>
      </c>
    </row>
    <row r="21" spans="1:29" x14ac:dyDescent="0.25">
      <c r="A21" s="6">
        <v>10020</v>
      </c>
      <c r="B21" s="6">
        <v>1130</v>
      </c>
      <c r="C21" s="11">
        <v>45194</v>
      </c>
      <c r="D21" s="11">
        <v>45203</v>
      </c>
      <c r="E21" s="6" t="s">
        <v>109</v>
      </c>
      <c r="F21" s="6" t="s">
        <v>101</v>
      </c>
      <c r="G21" s="6" t="s">
        <v>80</v>
      </c>
      <c r="H21" s="6" t="s">
        <v>81</v>
      </c>
      <c r="I21" s="6" t="s">
        <v>112</v>
      </c>
      <c r="J21" s="6" t="s">
        <v>114</v>
      </c>
      <c r="K21" s="6" t="s">
        <v>84</v>
      </c>
      <c r="L21" s="6">
        <v>2</v>
      </c>
      <c r="M21" s="6">
        <v>3959.31</v>
      </c>
      <c r="N21" s="13">
        <f t="shared" si="0"/>
        <v>7918.62</v>
      </c>
      <c r="O21" s="6">
        <v>5</v>
      </c>
      <c r="P21" s="6">
        <f t="shared" si="1"/>
        <v>395.93100000000004</v>
      </c>
      <c r="Q21" s="6">
        <f t="shared" si="2"/>
        <v>7522.6890000000003</v>
      </c>
      <c r="R21" s="6" t="str">
        <f t="shared" si="3"/>
        <v>Low Sale</v>
      </c>
      <c r="S21" s="6" t="str" cm="1">
        <f t="array" ref="S21">_xlfn.IFS(L21&gt;5,"High",L21=5,"Medium",L21&lt;5,"Low")</f>
        <v>Low</v>
      </c>
      <c r="T21" s="6" t="str">
        <f t="shared" si="4"/>
        <v>Low</v>
      </c>
    </row>
    <row r="22" spans="1:29" x14ac:dyDescent="0.25">
      <c r="A22" s="6">
        <v>10021</v>
      </c>
      <c r="B22" s="6">
        <v>1661</v>
      </c>
      <c r="C22" s="11">
        <v>45159</v>
      </c>
      <c r="D22" s="11">
        <v>45163</v>
      </c>
      <c r="E22" s="6" t="s">
        <v>109</v>
      </c>
      <c r="F22" s="6" t="s">
        <v>92</v>
      </c>
      <c r="G22" s="6" t="s">
        <v>87</v>
      </c>
      <c r="H22" s="6" t="s">
        <v>81</v>
      </c>
      <c r="I22" s="6" t="s">
        <v>115</v>
      </c>
      <c r="J22" s="6" t="s">
        <v>119</v>
      </c>
      <c r="K22" s="6" t="s">
        <v>84</v>
      </c>
      <c r="L22" s="6">
        <v>3</v>
      </c>
      <c r="M22" s="6">
        <v>2361.58</v>
      </c>
      <c r="N22" s="13">
        <f t="shared" si="0"/>
        <v>7084.74</v>
      </c>
      <c r="O22" s="6">
        <v>5</v>
      </c>
      <c r="P22" s="6">
        <f t="shared" si="1"/>
        <v>354.23700000000002</v>
      </c>
      <c r="Q22" s="6">
        <f t="shared" si="2"/>
        <v>6730.5029999999997</v>
      </c>
      <c r="R22" s="6" t="str">
        <f t="shared" si="3"/>
        <v>Low Sale</v>
      </c>
      <c r="S22" s="6" t="str" cm="1">
        <f t="array" ref="S22">_xlfn.IFS(L22&gt;5,"High",L22=5,"Medium",L22&lt;5,"Low")</f>
        <v>Low</v>
      </c>
      <c r="T22" s="6" t="str">
        <f t="shared" si="4"/>
        <v>Low</v>
      </c>
      <c r="V22" s="9" t="s">
        <v>74</v>
      </c>
      <c r="W22" s="7" t="s">
        <v>182</v>
      </c>
    </row>
    <row r="23" spans="1:29" x14ac:dyDescent="0.25">
      <c r="A23" s="6">
        <v>10022</v>
      </c>
      <c r="B23" s="6">
        <v>1308</v>
      </c>
      <c r="C23" s="11">
        <v>44944</v>
      </c>
      <c r="D23" s="11">
        <v>44951</v>
      </c>
      <c r="E23" s="6" t="s">
        <v>100</v>
      </c>
      <c r="F23" s="6" t="s">
        <v>86</v>
      </c>
      <c r="G23" s="6" t="s">
        <v>93</v>
      </c>
      <c r="H23" s="6" t="s">
        <v>98</v>
      </c>
      <c r="I23" s="6" t="s">
        <v>120</v>
      </c>
      <c r="J23" s="6" t="s">
        <v>121</v>
      </c>
      <c r="K23" s="6" t="s">
        <v>96</v>
      </c>
      <c r="L23" s="6">
        <v>7</v>
      </c>
      <c r="M23" s="6">
        <v>680.86</v>
      </c>
      <c r="N23" s="13">
        <f t="shared" si="0"/>
        <v>4766.0200000000004</v>
      </c>
      <c r="O23" s="6">
        <v>20</v>
      </c>
      <c r="P23" s="6">
        <f t="shared" si="1"/>
        <v>953.20400000000018</v>
      </c>
      <c r="Q23" s="6">
        <f t="shared" si="2"/>
        <v>3812.8160000000003</v>
      </c>
      <c r="R23" s="6" t="str">
        <f t="shared" si="3"/>
        <v>High Sale</v>
      </c>
      <c r="S23" s="6" t="str" cm="1">
        <f t="array" ref="S23">_xlfn.IFS(L23&gt;5,"High",L23=5,"Medium",L23&lt;5,"Low")</f>
        <v>High</v>
      </c>
      <c r="T23" s="6" t="str">
        <f t="shared" si="4"/>
        <v>High</v>
      </c>
      <c r="V23" s="13" t="s">
        <v>84</v>
      </c>
      <c r="W23" s="6" cm="1">
        <f t="array" ref="W23">SUMPRODUCT(L2:L373,M2:M373,--(K2:K373=V23))</f>
        <v>737855.54000000015</v>
      </c>
    </row>
    <row r="24" spans="1:29" x14ac:dyDescent="0.25">
      <c r="A24" s="6">
        <v>10023</v>
      </c>
      <c r="B24" s="6">
        <v>1769</v>
      </c>
      <c r="C24" s="11">
        <v>45075</v>
      </c>
      <c r="D24" s="11">
        <v>45084</v>
      </c>
      <c r="E24" s="6" t="s">
        <v>79</v>
      </c>
      <c r="F24" s="6" t="s">
        <v>86</v>
      </c>
      <c r="G24" s="6" t="s">
        <v>80</v>
      </c>
      <c r="H24" s="6" t="s">
        <v>105</v>
      </c>
      <c r="I24" s="6" t="s">
        <v>94</v>
      </c>
      <c r="J24" s="6" t="s">
        <v>95</v>
      </c>
      <c r="K24" s="6" t="s">
        <v>108</v>
      </c>
      <c r="L24" s="6">
        <v>2</v>
      </c>
      <c r="M24" s="6">
        <v>2801.74</v>
      </c>
      <c r="N24" s="13">
        <f t="shared" si="0"/>
        <v>5603.48</v>
      </c>
      <c r="O24" s="6">
        <v>20</v>
      </c>
      <c r="P24" s="6">
        <f t="shared" si="1"/>
        <v>1120.6959999999999</v>
      </c>
      <c r="Q24" s="6">
        <f t="shared" si="2"/>
        <v>4482.7839999999997</v>
      </c>
      <c r="R24" s="6" t="str">
        <f t="shared" si="3"/>
        <v>Low Sale</v>
      </c>
      <c r="S24" s="6" t="str" cm="1">
        <f t="array" ref="S24">_xlfn.IFS(L24&gt;5,"High",L24=5,"Medium",L24&lt;5,"Low")</f>
        <v>Low</v>
      </c>
      <c r="T24" s="6" t="str">
        <f t="shared" si="4"/>
        <v>Low</v>
      </c>
    </row>
    <row r="25" spans="1:29" x14ac:dyDescent="0.25">
      <c r="A25" s="6">
        <v>10024</v>
      </c>
      <c r="B25" s="6">
        <v>1343</v>
      </c>
      <c r="C25" s="11">
        <v>45075</v>
      </c>
      <c r="D25" s="11">
        <v>45082</v>
      </c>
      <c r="E25" s="6" t="s">
        <v>85</v>
      </c>
      <c r="F25" s="6" t="s">
        <v>104</v>
      </c>
      <c r="G25" s="6" t="s">
        <v>80</v>
      </c>
      <c r="H25" s="6" t="s">
        <v>107</v>
      </c>
      <c r="I25" s="6" t="s">
        <v>112</v>
      </c>
      <c r="J25" s="6" t="s">
        <v>114</v>
      </c>
      <c r="K25" s="6" t="s">
        <v>108</v>
      </c>
      <c r="L25" s="6">
        <v>1</v>
      </c>
      <c r="M25" s="6">
        <v>3606.31</v>
      </c>
      <c r="N25" s="13">
        <f t="shared" si="0"/>
        <v>3606.31</v>
      </c>
      <c r="O25" s="6">
        <v>0</v>
      </c>
      <c r="P25" s="6">
        <f t="shared" si="1"/>
        <v>0</v>
      </c>
      <c r="Q25" s="6">
        <f t="shared" si="2"/>
        <v>3606.31</v>
      </c>
      <c r="R25" s="6" t="str">
        <f t="shared" si="3"/>
        <v>Low Sale</v>
      </c>
      <c r="S25" s="6" t="str" cm="1">
        <f t="array" ref="S25">_xlfn.IFS(L25&gt;5,"High",L25=5,"Medium",L25&lt;5,"Low")</f>
        <v>Low</v>
      </c>
      <c r="T25" s="6" t="str">
        <f t="shared" si="4"/>
        <v>Low</v>
      </c>
      <c r="V25" s="7" t="s">
        <v>185</v>
      </c>
      <c r="W25" s="7">
        <f>AVERAGE(N2:N373)</f>
        <v>9850.8562903225811</v>
      </c>
    </row>
    <row r="26" spans="1:29" x14ac:dyDescent="0.25">
      <c r="A26" s="6">
        <v>10025</v>
      </c>
      <c r="B26" s="6">
        <v>1491</v>
      </c>
      <c r="C26" s="11">
        <v>45052</v>
      </c>
      <c r="D26" s="11">
        <v>45061</v>
      </c>
      <c r="E26" s="6" t="s">
        <v>100</v>
      </c>
      <c r="F26" s="6" t="s">
        <v>101</v>
      </c>
      <c r="G26" s="6" t="s">
        <v>93</v>
      </c>
      <c r="H26" s="6" t="s">
        <v>107</v>
      </c>
      <c r="I26" s="6" t="s">
        <v>120</v>
      </c>
      <c r="J26" s="6" t="s">
        <v>122</v>
      </c>
      <c r="K26" s="6" t="s">
        <v>108</v>
      </c>
      <c r="L26" s="6">
        <v>6</v>
      </c>
      <c r="M26" s="6">
        <v>3018.94</v>
      </c>
      <c r="N26" s="13">
        <f t="shared" si="0"/>
        <v>18113.64</v>
      </c>
      <c r="O26" s="6">
        <v>5</v>
      </c>
      <c r="P26" s="6">
        <f t="shared" si="1"/>
        <v>905.68200000000002</v>
      </c>
      <c r="Q26" s="6">
        <f t="shared" si="2"/>
        <v>17207.957999999999</v>
      </c>
      <c r="R26" s="6" t="str">
        <f t="shared" si="3"/>
        <v>High Sale</v>
      </c>
      <c r="S26" s="6" t="str" cm="1">
        <f t="array" ref="S26">_xlfn.IFS(L26&gt;5,"High",L26=5,"Medium",L26&lt;5,"Low")</f>
        <v>High</v>
      </c>
      <c r="T26" s="6" t="str">
        <f t="shared" si="4"/>
        <v>High</v>
      </c>
    </row>
    <row r="27" spans="1:29" x14ac:dyDescent="0.25">
      <c r="A27" s="6">
        <v>10026</v>
      </c>
      <c r="B27" s="6">
        <v>1413</v>
      </c>
      <c r="C27" s="11">
        <v>45228</v>
      </c>
      <c r="D27" s="11">
        <v>45231</v>
      </c>
      <c r="E27" s="6" t="s">
        <v>97</v>
      </c>
      <c r="F27" s="6" t="s">
        <v>79</v>
      </c>
      <c r="G27" s="6" t="s">
        <v>93</v>
      </c>
      <c r="H27" s="6" t="s">
        <v>105</v>
      </c>
      <c r="I27" s="6" t="s">
        <v>115</v>
      </c>
      <c r="J27" s="6" t="s">
        <v>123</v>
      </c>
      <c r="K27" s="6" t="s">
        <v>96</v>
      </c>
      <c r="L27" s="6">
        <v>9</v>
      </c>
      <c r="M27" s="6">
        <v>444.29</v>
      </c>
      <c r="N27" s="13">
        <f t="shared" si="0"/>
        <v>3998.61</v>
      </c>
      <c r="O27" s="6">
        <v>5</v>
      </c>
      <c r="P27" s="6">
        <f t="shared" si="1"/>
        <v>199.93050000000002</v>
      </c>
      <c r="Q27" s="6">
        <f t="shared" si="2"/>
        <v>3798.6795000000002</v>
      </c>
      <c r="R27" s="6" t="str">
        <f t="shared" si="3"/>
        <v>High Sale</v>
      </c>
      <c r="S27" s="6" t="str" cm="1">
        <f t="array" ref="S27">_xlfn.IFS(L27&gt;5,"High",L27=5,"Medium",L27&lt;5,"Low")</f>
        <v>High</v>
      </c>
      <c r="T27" s="6" t="str">
        <f t="shared" si="4"/>
        <v>High</v>
      </c>
      <c r="V27" s="7" t="s">
        <v>74</v>
      </c>
      <c r="W27" s="7" t="s">
        <v>188</v>
      </c>
    </row>
    <row r="28" spans="1:29" x14ac:dyDescent="0.25">
      <c r="A28" s="6">
        <v>10027</v>
      </c>
      <c r="B28" s="6">
        <v>1805</v>
      </c>
      <c r="C28" s="11">
        <v>45286</v>
      </c>
      <c r="D28" s="11">
        <v>45290</v>
      </c>
      <c r="E28" s="6" t="s">
        <v>100</v>
      </c>
      <c r="F28" s="6" t="s">
        <v>104</v>
      </c>
      <c r="G28" s="6" t="s">
        <v>87</v>
      </c>
      <c r="H28" s="6" t="s">
        <v>98</v>
      </c>
      <c r="I28" s="6" t="s">
        <v>120</v>
      </c>
      <c r="J28" s="6" t="s">
        <v>121</v>
      </c>
      <c r="K28" s="6" t="s">
        <v>84</v>
      </c>
      <c r="L28" s="6">
        <v>3</v>
      </c>
      <c r="M28" s="6">
        <v>3599.15</v>
      </c>
      <c r="N28" s="13">
        <f t="shared" si="0"/>
        <v>10797.45</v>
      </c>
      <c r="O28" s="6">
        <v>5</v>
      </c>
      <c r="P28" s="6">
        <f t="shared" si="1"/>
        <v>539.87250000000006</v>
      </c>
      <c r="Q28" s="6">
        <f t="shared" si="2"/>
        <v>10257.577500000001</v>
      </c>
      <c r="R28" s="6" t="str">
        <f t="shared" si="3"/>
        <v>Low Sale</v>
      </c>
      <c r="S28" s="6" t="str" cm="1">
        <f t="array" ref="S28">_xlfn.IFS(L28&gt;5,"High",L28=5,"Medium",L28&lt;5,"Low")</f>
        <v>Low</v>
      </c>
      <c r="T28" s="6" t="str">
        <f t="shared" si="4"/>
        <v>Low</v>
      </c>
      <c r="V28" s="6" t="s">
        <v>96</v>
      </c>
      <c r="W28" s="6">
        <f>AVERAGEIF(K2:K373,V28,L2:L373)</f>
        <v>5.1204819277108431</v>
      </c>
    </row>
    <row r="29" spans="1:29" x14ac:dyDescent="0.25">
      <c r="A29" s="6">
        <v>10028</v>
      </c>
      <c r="B29" s="6">
        <v>1385</v>
      </c>
      <c r="C29" s="11">
        <v>45164</v>
      </c>
      <c r="D29" s="11">
        <v>45172</v>
      </c>
      <c r="E29" s="6" t="s">
        <v>103</v>
      </c>
      <c r="F29" s="6" t="s">
        <v>86</v>
      </c>
      <c r="G29" s="6" t="s">
        <v>87</v>
      </c>
      <c r="H29" s="6" t="s">
        <v>88</v>
      </c>
      <c r="I29" s="6" t="s">
        <v>112</v>
      </c>
      <c r="J29" s="6" t="s">
        <v>114</v>
      </c>
      <c r="K29" s="6" t="s">
        <v>96</v>
      </c>
      <c r="L29" s="6">
        <v>6</v>
      </c>
      <c r="M29" s="6">
        <v>3206.63</v>
      </c>
      <c r="N29" s="13">
        <f t="shared" si="0"/>
        <v>19239.78</v>
      </c>
      <c r="O29" s="6">
        <v>20</v>
      </c>
      <c r="P29" s="6">
        <f t="shared" si="1"/>
        <v>3847.9560000000001</v>
      </c>
      <c r="Q29" s="6">
        <f t="shared" si="2"/>
        <v>15391.823999999999</v>
      </c>
      <c r="R29" s="6" t="str">
        <f t="shared" si="3"/>
        <v>High Sale</v>
      </c>
      <c r="S29" s="6" t="str" cm="1">
        <f t="array" ref="S29">_xlfn.IFS(L29&gt;5,"High",L29=5,"Medium",L29&lt;5,"Low")</f>
        <v>High</v>
      </c>
      <c r="T29" s="6" t="str">
        <f t="shared" si="4"/>
        <v>High</v>
      </c>
    </row>
    <row r="30" spans="1:29" x14ac:dyDescent="0.25">
      <c r="A30" s="6">
        <v>10029</v>
      </c>
      <c r="B30" s="6">
        <v>1191</v>
      </c>
      <c r="C30" s="11">
        <v>45061</v>
      </c>
      <c r="D30" s="11">
        <v>45067</v>
      </c>
      <c r="E30" s="6" t="s">
        <v>109</v>
      </c>
      <c r="F30" s="6" t="s">
        <v>92</v>
      </c>
      <c r="G30" s="6" t="s">
        <v>80</v>
      </c>
      <c r="H30" s="6" t="s">
        <v>81</v>
      </c>
      <c r="I30" s="6" t="s">
        <v>89</v>
      </c>
      <c r="J30" s="6" t="s">
        <v>90</v>
      </c>
      <c r="K30" s="6" t="s">
        <v>96</v>
      </c>
      <c r="L30" s="6">
        <v>3</v>
      </c>
      <c r="M30" s="6">
        <v>759.47</v>
      </c>
      <c r="N30" s="13">
        <f t="shared" si="0"/>
        <v>2278.41</v>
      </c>
      <c r="O30" s="6">
        <v>15</v>
      </c>
      <c r="P30" s="6">
        <f t="shared" si="1"/>
        <v>341.76149999999996</v>
      </c>
      <c r="Q30" s="6">
        <f t="shared" si="2"/>
        <v>1936.6484999999998</v>
      </c>
      <c r="R30" s="6" t="str">
        <f t="shared" si="3"/>
        <v>Low Sale</v>
      </c>
      <c r="S30" s="6" t="str" cm="1">
        <f t="array" ref="S30">_xlfn.IFS(L30&gt;5,"High",L30=5,"Medium",L30&lt;5,"Low")</f>
        <v>Low</v>
      </c>
      <c r="T30" s="6" t="str">
        <f t="shared" si="4"/>
        <v>Low</v>
      </c>
      <c r="V30" s="7" t="s">
        <v>72</v>
      </c>
      <c r="W30" s="9" t="s">
        <v>74</v>
      </c>
      <c r="X30" s="7" t="s">
        <v>189</v>
      </c>
    </row>
    <row r="31" spans="1:29" x14ac:dyDescent="0.25">
      <c r="A31" s="6">
        <v>10030</v>
      </c>
      <c r="B31" s="6">
        <v>1955</v>
      </c>
      <c r="C31" s="11">
        <v>45077</v>
      </c>
      <c r="D31" s="11">
        <v>45082</v>
      </c>
      <c r="E31" s="6" t="s">
        <v>109</v>
      </c>
      <c r="F31" s="6" t="s">
        <v>86</v>
      </c>
      <c r="G31" s="6" t="s">
        <v>93</v>
      </c>
      <c r="H31" s="6" t="s">
        <v>98</v>
      </c>
      <c r="I31" s="6" t="s">
        <v>89</v>
      </c>
      <c r="J31" s="6" t="s">
        <v>124</v>
      </c>
      <c r="K31" s="6" t="s">
        <v>108</v>
      </c>
      <c r="L31" s="6">
        <v>1</v>
      </c>
      <c r="M31" s="6">
        <v>349.38</v>
      </c>
      <c r="N31" s="13">
        <f t="shared" si="0"/>
        <v>349.38</v>
      </c>
      <c r="O31" s="6">
        <v>10</v>
      </c>
      <c r="P31" s="6">
        <f t="shared" si="1"/>
        <v>34.938000000000002</v>
      </c>
      <c r="Q31" s="6">
        <f t="shared" si="2"/>
        <v>314.44200000000001</v>
      </c>
      <c r="R31" s="6" t="str">
        <f t="shared" si="3"/>
        <v>Low Sale</v>
      </c>
      <c r="S31" s="6" t="str" cm="1">
        <f t="array" ref="S31">_xlfn.IFS(L31&gt;5,"High",L31=5,"Medium",L31&lt;5,"Low")</f>
        <v>Low</v>
      </c>
      <c r="T31" s="6" t="str">
        <f t="shared" si="4"/>
        <v>Low</v>
      </c>
      <c r="V31" s="13" t="s">
        <v>82</v>
      </c>
      <c r="W31" s="13" t="s">
        <v>84</v>
      </c>
      <c r="X31" s="13">
        <f>AVERAGEIFS(L2:L373,I2:I373,V31,K2:K373,W31)</f>
        <v>6.5</v>
      </c>
    </row>
    <row r="32" spans="1:29" x14ac:dyDescent="0.25">
      <c r="A32" s="6">
        <v>10031</v>
      </c>
      <c r="B32" s="6">
        <v>1276</v>
      </c>
      <c r="C32" s="11">
        <v>45162</v>
      </c>
      <c r="D32" s="11">
        <v>45166</v>
      </c>
      <c r="E32" s="6" t="s">
        <v>78</v>
      </c>
      <c r="F32" s="6" t="s">
        <v>92</v>
      </c>
      <c r="G32" s="6" t="s">
        <v>93</v>
      </c>
      <c r="H32" s="6" t="s">
        <v>105</v>
      </c>
      <c r="I32" s="6" t="s">
        <v>120</v>
      </c>
      <c r="J32" s="6" t="s">
        <v>125</v>
      </c>
      <c r="K32" s="6" t="s">
        <v>110</v>
      </c>
      <c r="L32" s="6">
        <v>5</v>
      </c>
      <c r="M32" s="6">
        <v>2295.65</v>
      </c>
      <c r="N32" s="13">
        <f t="shared" si="0"/>
        <v>11478.25</v>
      </c>
      <c r="O32" s="6">
        <v>20</v>
      </c>
      <c r="P32" s="6">
        <f t="shared" si="1"/>
        <v>2295.65</v>
      </c>
      <c r="Q32" s="6">
        <f t="shared" si="2"/>
        <v>9182.6</v>
      </c>
      <c r="R32" s="6" t="str">
        <f t="shared" si="3"/>
        <v>High Sale</v>
      </c>
      <c r="S32" s="6" t="str" cm="1">
        <f t="array" ref="S32">_xlfn.IFS(L32&gt;5,"High",L32=5,"Medium",L32&lt;5,"Low")</f>
        <v>Medium</v>
      </c>
      <c r="T32" s="6" t="str">
        <f t="shared" si="4"/>
        <v>Medium</v>
      </c>
    </row>
    <row r="33" spans="1:20" x14ac:dyDescent="0.25">
      <c r="A33" s="6">
        <v>10032</v>
      </c>
      <c r="B33" s="6">
        <v>1160</v>
      </c>
      <c r="C33" s="11">
        <v>45150</v>
      </c>
      <c r="D33" s="11">
        <v>45158</v>
      </c>
      <c r="E33" s="6" t="s">
        <v>78</v>
      </c>
      <c r="F33" s="6" t="s">
        <v>104</v>
      </c>
      <c r="G33" s="6" t="s">
        <v>93</v>
      </c>
      <c r="H33" s="6" t="s">
        <v>81</v>
      </c>
      <c r="I33" s="6" t="s">
        <v>82</v>
      </c>
      <c r="J33" s="6" t="s">
        <v>106</v>
      </c>
      <c r="K33" s="6" t="s">
        <v>84</v>
      </c>
      <c r="L33" s="6">
        <v>4</v>
      </c>
      <c r="M33" s="6">
        <v>750.74</v>
      </c>
      <c r="N33" s="13">
        <f t="shared" si="0"/>
        <v>3002.96</v>
      </c>
      <c r="O33" s="6">
        <v>5</v>
      </c>
      <c r="P33" s="6">
        <f t="shared" si="1"/>
        <v>150.148</v>
      </c>
      <c r="Q33" s="6">
        <f t="shared" si="2"/>
        <v>2852.8119999999999</v>
      </c>
      <c r="R33" s="6" t="str">
        <f t="shared" si="3"/>
        <v>Low Sale</v>
      </c>
      <c r="S33" s="6" t="str" cm="1">
        <f t="array" ref="S33">_xlfn.IFS(L33&gt;5,"High",L33=5,"Medium",L33&lt;5,"Low")</f>
        <v>Low</v>
      </c>
      <c r="T33" s="6" t="str">
        <f t="shared" si="4"/>
        <v>Low</v>
      </c>
    </row>
    <row r="34" spans="1:20" x14ac:dyDescent="0.25">
      <c r="A34" s="6">
        <v>10033</v>
      </c>
      <c r="B34" s="6">
        <v>1459</v>
      </c>
      <c r="C34" s="11">
        <v>45129</v>
      </c>
      <c r="D34" s="11">
        <v>45130</v>
      </c>
      <c r="E34" s="6" t="s">
        <v>85</v>
      </c>
      <c r="F34" s="6" t="s">
        <v>101</v>
      </c>
      <c r="G34" s="6" t="s">
        <v>80</v>
      </c>
      <c r="H34" s="6" t="s">
        <v>107</v>
      </c>
      <c r="I34" s="6" t="s">
        <v>120</v>
      </c>
      <c r="J34" s="6" t="s">
        <v>122</v>
      </c>
      <c r="K34" s="6" t="s">
        <v>108</v>
      </c>
      <c r="L34" s="6">
        <v>7</v>
      </c>
      <c r="M34" s="6">
        <v>3363.18</v>
      </c>
      <c r="N34" s="13">
        <f t="shared" si="0"/>
        <v>23542.26</v>
      </c>
      <c r="O34" s="6">
        <v>20</v>
      </c>
      <c r="P34" s="6">
        <f t="shared" si="1"/>
        <v>4708.4520000000002</v>
      </c>
      <c r="Q34" s="6">
        <f t="shared" si="2"/>
        <v>18833.807999999997</v>
      </c>
      <c r="R34" s="6" t="str">
        <f t="shared" si="3"/>
        <v>High Sale</v>
      </c>
      <c r="S34" s="6" t="str" cm="1">
        <f t="array" ref="S34">_xlfn.IFS(L34&gt;5,"High",L34=5,"Medium",L34&lt;5,"Low")</f>
        <v>High</v>
      </c>
      <c r="T34" s="6" t="str">
        <f t="shared" si="4"/>
        <v>High</v>
      </c>
    </row>
    <row r="35" spans="1:20" x14ac:dyDescent="0.25">
      <c r="A35" s="6">
        <v>10034</v>
      </c>
      <c r="B35" s="6">
        <v>1313</v>
      </c>
      <c r="C35" s="11">
        <v>45182</v>
      </c>
      <c r="D35" s="11">
        <v>45191</v>
      </c>
      <c r="E35" s="6" t="s">
        <v>97</v>
      </c>
      <c r="F35" s="6" t="s">
        <v>86</v>
      </c>
      <c r="G35" s="6" t="s">
        <v>93</v>
      </c>
      <c r="H35" s="6" t="s">
        <v>88</v>
      </c>
      <c r="I35" s="6" t="s">
        <v>94</v>
      </c>
      <c r="J35" s="6" t="s">
        <v>111</v>
      </c>
      <c r="K35" s="6" t="s">
        <v>110</v>
      </c>
      <c r="L35" s="6">
        <v>6</v>
      </c>
      <c r="M35" s="6">
        <v>1529.59</v>
      </c>
      <c r="N35" s="13">
        <f t="shared" si="0"/>
        <v>9177.5399999999991</v>
      </c>
      <c r="O35" s="6">
        <v>0</v>
      </c>
      <c r="P35" s="6">
        <f t="shared" si="1"/>
        <v>0</v>
      </c>
      <c r="Q35" s="6">
        <f t="shared" si="2"/>
        <v>9177.5399999999991</v>
      </c>
      <c r="R35" s="6" t="str">
        <f t="shared" si="3"/>
        <v>High Sale</v>
      </c>
      <c r="S35" s="6" t="str" cm="1">
        <f t="array" ref="S35">_xlfn.IFS(L35&gt;5,"High",L35=5,"Medium",L35&lt;5,"Low")</f>
        <v>High</v>
      </c>
      <c r="T35" s="6" t="str">
        <f t="shared" si="4"/>
        <v>High</v>
      </c>
    </row>
    <row r="36" spans="1:20" x14ac:dyDescent="0.25">
      <c r="A36" s="6">
        <v>10035</v>
      </c>
      <c r="B36" s="6">
        <v>1021</v>
      </c>
      <c r="C36" s="11">
        <v>45012</v>
      </c>
      <c r="D36" s="11">
        <v>45013</v>
      </c>
      <c r="E36" s="6" t="s">
        <v>103</v>
      </c>
      <c r="F36" s="6" t="s">
        <v>92</v>
      </c>
      <c r="G36" s="6" t="s">
        <v>93</v>
      </c>
      <c r="H36" s="6" t="s">
        <v>107</v>
      </c>
      <c r="I36" s="6" t="s">
        <v>94</v>
      </c>
      <c r="J36" s="6" t="s">
        <v>111</v>
      </c>
      <c r="K36" s="6" t="s">
        <v>110</v>
      </c>
      <c r="L36" s="6">
        <v>7</v>
      </c>
      <c r="M36" s="6">
        <v>3664.64</v>
      </c>
      <c r="N36" s="13">
        <f t="shared" si="0"/>
        <v>25652.48</v>
      </c>
      <c r="O36" s="6">
        <v>5</v>
      </c>
      <c r="P36" s="6">
        <f t="shared" si="1"/>
        <v>1282.624</v>
      </c>
      <c r="Q36" s="6">
        <f t="shared" si="2"/>
        <v>24369.856</v>
      </c>
      <c r="R36" s="6" t="str">
        <f t="shared" si="3"/>
        <v>High Sale</v>
      </c>
      <c r="S36" s="6" t="str" cm="1">
        <f t="array" ref="S36">_xlfn.IFS(L36&gt;5,"High",L36=5,"Medium",L36&lt;5,"Low")</f>
        <v>High</v>
      </c>
      <c r="T36" s="6" t="str">
        <f t="shared" si="4"/>
        <v>High</v>
      </c>
    </row>
    <row r="37" spans="1:20" x14ac:dyDescent="0.25">
      <c r="A37" s="6">
        <v>10036</v>
      </c>
      <c r="B37" s="6">
        <v>1252</v>
      </c>
      <c r="C37" s="11">
        <v>45076</v>
      </c>
      <c r="D37" s="11">
        <v>45084</v>
      </c>
      <c r="E37" s="6" t="s">
        <v>79</v>
      </c>
      <c r="F37" s="6" t="s">
        <v>101</v>
      </c>
      <c r="G37" s="6" t="s">
        <v>80</v>
      </c>
      <c r="H37" s="6" t="s">
        <v>105</v>
      </c>
      <c r="I37" s="6" t="s">
        <v>89</v>
      </c>
      <c r="J37" s="6" t="s">
        <v>90</v>
      </c>
      <c r="K37" s="6" t="s">
        <v>91</v>
      </c>
      <c r="L37" s="6">
        <v>5</v>
      </c>
      <c r="M37" s="6">
        <v>2327.9</v>
      </c>
      <c r="N37" s="13">
        <f t="shared" si="0"/>
        <v>11639.5</v>
      </c>
      <c r="O37" s="6">
        <v>0</v>
      </c>
      <c r="P37" s="6">
        <f t="shared" si="1"/>
        <v>0</v>
      </c>
      <c r="Q37" s="6">
        <f t="shared" si="2"/>
        <v>11639.5</v>
      </c>
      <c r="R37" s="6" t="str">
        <f t="shared" si="3"/>
        <v>High Sale</v>
      </c>
      <c r="S37" s="6" t="str" cm="1">
        <f t="array" ref="S37">_xlfn.IFS(L37&gt;5,"High",L37=5,"Medium",L37&lt;5,"Low")</f>
        <v>Medium</v>
      </c>
      <c r="T37" s="6" t="str">
        <f t="shared" si="4"/>
        <v>Medium</v>
      </c>
    </row>
    <row r="38" spans="1:20" x14ac:dyDescent="0.25">
      <c r="A38" s="6">
        <v>10037</v>
      </c>
      <c r="B38" s="6">
        <v>1747</v>
      </c>
      <c r="C38" s="11">
        <v>45161</v>
      </c>
      <c r="D38" s="11">
        <v>45165</v>
      </c>
      <c r="E38" s="6" t="s">
        <v>100</v>
      </c>
      <c r="F38" s="6" t="s">
        <v>79</v>
      </c>
      <c r="G38" s="6" t="s">
        <v>87</v>
      </c>
      <c r="H38" s="6" t="s">
        <v>81</v>
      </c>
      <c r="I38" s="6" t="s">
        <v>82</v>
      </c>
      <c r="J38" s="6" t="s">
        <v>118</v>
      </c>
      <c r="K38" s="6" t="s">
        <v>84</v>
      </c>
      <c r="L38" s="6">
        <v>4</v>
      </c>
      <c r="M38" s="6">
        <v>853.29</v>
      </c>
      <c r="N38" s="13">
        <f t="shared" si="0"/>
        <v>3413.16</v>
      </c>
      <c r="O38" s="6">
        <v>5</v>
      </c>
      <c r="P38" s="6">
        <f t="shared" si="1"/>
        <v>170.65800000000002</v>
      </c>
      <c r="Q38" s="6">
        <f t="shared" si="2"/>
        <v>3242.502</v>
      </c>
      <c r="R38" s="6" t="str">
        <f t="shared" si="3"/>
        <v>Low Sale</v>
      </c>
      <c r="S38" s="6" t="str" cm="1">
        <f t="array" ref="S38">_xlfn.IFS(L38&gt;5,"High",L38=5,"Medium",L38&lt;5,"Low")</f>
        <v>Low</v>
      </c>
      <c r="T38" s="6" t="str">
        <f t="shared" si="4"/>
        <v>Low</v>
      </c>
    </row>
    <row r="39" spans="1:20" x14ac:dyDescent="0.25">
      <c r="A39" s="6">
        <v>10038</v>
      </c>
      <c r="B39" s="6">
        <v>1856</v>
      </c>
      <c r="C39" s="11">
        <v>45271</v>
      </c>
      <c r="D39" s="11">
        <v>45280</v>
      </c>
      <c r="E39" s="6" t="s">
        <v>85</v>
      </c>
      <c r="F39" s="6" t="s">
        <v>92</v>
      </c>
      <c r="G39" s="6" t="s">
        <v>87</v>
      </c>
      <c r="H39" s="6" t="s">
        <v>105</v>
      </c>
      <c r="I39" s="6" t="s">
        <v>112</v>
      </c>
      <c r="J39" s="6" t="s">
        <v>126</v>
      </c>
      <c r="K39" s="6" t="s">
        <v>110</v>
      </c>
      <c r="L39" s="6">
        <v>7</v>
      </c>
      <c r="M39" s="6">
        <v>687.46</v>
      </c>
      <c r="N39" s="13">
        <f t="shared" si="0"/>
        <v>4812.22</v>
      </c>
      <c r="O39" s="6">
        <v>20</v>
      </c>
      <c r="P39" s="6">
        <f t="shared" si="1"/>
        <v>962.44400000000007</v>
      </c>
      <c r="Q39" s="6">
        <f t="shared" si="2"/>
        <v>3849.7760000000003</v>
      </c>
      <c r="R39" s="6" t="str">
        <f t="shared" si="3"/>
        <v>High Sale</v>
      </c>
      <c r="S39" s="6" t="str" cm="1">
        <f t="array" ref="S39">_xlfn.IFS(L39&gt;5,"High",L39=5,"Medium",L39&lt;5,"Low")</f>
        <v>High</v>
      </c>
      <c r="T39" s="6" t="str">
        <f t="shared" si="4"/>
        <v>High</v>
      </c>
    </row>
    <row r="40" spans="1:20" x14ac:dyDescent="0.25">
      <c r="A40" s="6">
        <v>10039</v>
      </c>
      <c r="B40" s="6">
        <v>1560</v>
      </c>
      <c r="C40" s="11">
        <v>44948</v>
      </c>
      <c r="D40" s="11">
        <v>44953</v>
      </c>
      <c r="E40" s="6" t="s">
        <v>97</v>
      </c>
      <c r="F40" s="6" t="s">
        <v>104</v>
      </c>
      <c r="G40" s="6" t="s">
        <v>80</v>
      </c>
      <c r="H40" s="6" t="s">
        <v>81</v>
      </c>
      <c r="I40" s="6" t="s">
        <v>94</v>
      </c>
      <c r="J40" s="6" t="s">
        <v>111</v>
      </c>
      <c r="K40" s="6" t="s">
        <v>108</v>
      </c>
      <c r="L40" s="6">
        <v>7</v>
      </c>
      <c r="M40" s="6">
        <v>2369.42</v>
      </c>
      <c r="N40" s="13">
        <f t="shared" si="0"/>
        <v>16585.940000000002</v>
      </c>
      <c r="O40" s="6">
        <v>15</v>
      </c>
      <c r="P40" s="6">
        <f t="shared" si="1"/>
        <v>2487.8910000000001</v>
      </c>
      <c r="Q40" s="6">
        <f t="shared" si="2"/>
        <v>14098.049000000003</v>
      </c>
      <c r="R40" s="6" t="str">
        <f t="shared" si="3"/>
        <v>High Sale</v>
      </c>
      <c r="S40" s="6" t="str" cm="1">
        <f t="array" ref="S40">_xlfn.IFS(L40&gt;5,"High",L40=5,"Medium",L40&lt;5,"Low")</f>
        <v>High</v>
      </c>
      <c r="T40" s="6" t="str">
        <f t="shared" si="4"/>
        <v>High</v>
      </c>
    </row>
    <row r="41" spans="1:20" x14ac:dyDescent="0.25">
      <c r="A41" s="6">
        <v>10040</v>
      </c>
      <c r="B41" s="6">
        <v>1474</v>
      </c>
      <c r="C41" s="11">
        <v>45274</v>
      </c>
      <c r="D41" s="11">
        <v>45277</v>
      </c>
      <c r="E41" s="6" t="s">
        <v>78</v>
      </c>
      <c r="F41" s="6" t="s">
        <v>79</v>
      </c>
      <c r="G41" s="6" t="s">
        <v>93</v>
      </c>
      <c r="H41" s="6" t="s">
        <v>98</v>
      </c>
      <c r="I41" s="6" t="s">
        <v>89</v>
      </c>
      <c r="J41" s="6" t="s">
        <v>90</v>
      </c>
      <c r="K41" s="6" t="s">
        <v>91</v>
      </c>
      <c r="L41" s="6">
        <v>6</v>
      </c>
      <c r="M41" s="6">
        <v>3083.25</v>
      </c>
      <c r="N41" s="13">
        <f t="shared" si="0"/>
        <v>18499.5</v>
      </c>
      <c r="O41" s="6">
        <v>10</v>
      </c>
      <c r="P41" s="6">
        <f t="shared" si="1"/>
        <v>1849.95</v>
      </c>
      <c r="Q41" s="6">
        <f t="shared" si="2"/>
        <v>16649.55</v>
      </c>
      <c r="R41" s="6" t="str">
        <f t="shared" si="3"/>
        <v>High Sale</v>
      </c>
      <c r="S41" s="6" t="str" cm="1">
        <f t="array" ref="S41">_xlfn.IFS(L41&gt;5,"High",L41=5,"Medium",L41&lt;5,"Low")</f>
        <v>High</v>
      </c>
      <c r="T41" s="6" t="str">
        <f t="shared" si="4"/>
        <v>High</v>
      </c>
    </row>
    <row r="42" spans="1:20" x14ac:dyDescent="0.25">
      <c r="A42" s="6">
        <v>10041</v>
      </c>
      <c r="B42" s="6">
        <v>1058</v>
      </c>
      <c r="C42" s="11">
        <v>45211</v>
      </c>
      <c r="D42" s="11">
        <v>45220</v>
      </c>
      <c r="E42" s="6" t="s">
        <v>100</v>
      </c>
      <c r="F42" s="6" t="s">
        <v>79</v>
      </c>
      <c r="G42" s="6" t="s">
        <v>80</v>
      </c>
      <c r="H42" s="6" t="s">
        <v>88</v>
      </c>
      <c r="I42" s="6" t="s">
        <v>115</v>
      </c>
      <c r="J42" s="6" t="s">
        <v>127</v>
      </c>
      <c r="K42" s="6" t="s">
        <v>84</v>
      </c>
      <c r="L42" s="6">
        <v>8</v>
      </c>
      <c r="M42" s="6">
        <v>3158.8</v>
      </c>
      <c r="N42" s="13">
        <f t="shared" si="0"/>
        <v>25270.400000000001</v>
      </c>
      <c r="O42" s="6">
        <v>0</v>
      </c>
      <c r="P42" s="6">
        <f t="shared" si="1"/>
        <v>0</v>
      </c>
      <c r="Q42" s="6">
        <f t="shared" si="2"/>
        <v>25270.400000000001</v>
      </c>
      <c r="R42" s="6" t="str">
        <f t="shared" si="3"/>
        <v>High Sale</v>
      </c>
      <c r="S42" s="6" t="str" cm="1">
        <f t="array" ref="S42">_xlfn.IFS(L42&gt;5,"High",L42=5,"Medium",L42&lt;5,"Low")</f>
        <v>High</v>
      </c>
      <c r="T42" s="6" t="str">
        <f t="shared" si="4"/>
        <v>High</v>
      </c>
    </row>
    <row r="43" spans="1:20" x14ac:dyDescent="0.25">
      <c r="A43" s="6">
        <v>10042</v>
      </c>
      <c r="B43" s="6">
        <v>1510</v>
      </c>
      <c r="C43" s="11">
        <v>45195</v>
      </c>
      <c r="D43" s="11">
        <v>45204</v>
      </c>
      <c r="E43" s="6" t="s">
        <v>78</v>
      </c>
      <c r="F43" s="6" t="s">
        <v>117</v>
      </c>
      <c r="G43" s="6" t="s">
        <v>87</v>
      </c>
      <c r="H43" s="6" t="s">
        <v>98</v>
      </c>
      <c r="I43" s="6" t="s">
        <v>89</v>
      </c>
      <c r="J43" s="6" t="s">
        <v>90</v>
      </c>
      <c r="K43" s="6" t="s">
        <v>96</v>
      </c>
      <c r="L43" s="6">
        <v>4</v>
      </c>
      <c r="M43" s="6">
        <v>1211.67</v>
      </c>
      <c r="N43" s="13">
        <f t="shared" si="0"/>
        <v>4846.68</v>
      </c>
      <c r="O43" s="6">
        <v>20</v>
      </c>
      <c r="P43" s="6">
        <f t="shared" si="1"/>
        <v>969.33600000000013</v>
      </c>
      <c r="Q43" s="6">
        <f t="shared" si="2"/>
        <v>3877.3440000000001</v>
      </c>
      <c r="R43" s="6" t="str">
        <f t="shared" si="3"/>
        <v>Low Sale</v>
      </c>
      <c r="S43" s="6" t="str" cm="1">
        <f t="array" ref="S43">_xlfn.IFS(L43&gt;5,"High",L43=5,"Medium",L43&lt;5,"Low")</f>
        <v>Low</v>
      </c>
      <c r="T43" s="6" t="str">
        <f t="shared" si="4"/>
        <v>Low</v>
      </c>
    </row>
    <row r="44" spans="1:20" x14ac:dyDescent="0.25">
      <c r="A44" s="6">
        <v>10043</v>
      </c>
      <c r="B44" s="6">
        <v>1681</v>
      </c>
      <c r="C44" s="11">
        <v>45184</v>
      </c>
      <c r="D44" s="11">
        <v>45188</v>
      </c>
      <c r="E44" s="6" t="s">
        <v>100</v>
      </c>
      <c r="F44" s="6" t="s">
        <v>86</v>
      </c>
      <c r="G44" s="6" t="s">
        <v>87</v>
      </c>
      <c r="H44" s="6" t="s">
        <v>98</v>
      </c>
      <c r="I44" s="6" t="s">
        <v>94</v>
      </c>
      <c r="J44" s="6" t="s">
        <v>111</v>
      </c>
      <c r="K44" s="6" t="s">
        <v>108</v>
      </c>
      <c r="L44" s="6">
        <v>5</v>
      </c>
      <c r="M44" s="6">
        <v>936.35</v>
      </c>
      <c r="N44" s="13">
        <f t="shared" si="0"/>
        <v>4681.75</v>
      </c>
      <c r="O44" s="6">
        <v>15</v>
      </c>
      <c r="P44" s="6">
        <f t="shared" si="1"/>
        <v>702.26249999999993</v>
      </c>
      <c r="Q44" s="6">
        <f t="shared" si="2"/>
        <v>3979.4875000000002</v>
      </c>
      <c r="R44" s="6" t="str">
        <f t="shared" si="3"/>
        <v>High Sale</v>
      </c>
      <c r="S44" s="6" t="str" cm="1">
        <f t="array" ref="S44">_xlfn.IFS(L44&gt;5,"High",L44=5,"Medium",L44&lt;5,"Low")</f>
        <v>Medium</v>
      </c>
      <c r="T44" s="6" t="str">
        <f t="shared" si="4"/>
        <v>Medium</v>
      </c>
    </row>
    <row r="45" spans="1:20" x14ac:dyDescent="0.25">
      <c r="A45" s="6">
        <v>10044</v>
      </c>
      <c r="B45" s="6">
        <v>1475</v>
      </c>
      <c r="C45" s="11">
        <v>44955</v>
      </c>
      <c r="D45" s="11">
        <v>44959</v>
      </c>
      <c r="E45" s="6" t="s">
        <v>79</v>
      </c>
      <c r="F45" s="6" t="s">
        <v>92</v>
      </c>
      <c r="G45" s="6" t="s">
        <v>80</v>
      </c>
      <c r="H45" s="6" t="s">
        <v>105</v>
      </c>
      <c r="I45" s="6" t="s">
        <v>94</v>
      </c>
      <c r="J45" s="6" t="s">
        <v>111</v>
      </c>
      <c r="K45" s="6" t="s">
        <v>110</v>
      </c>
      <c r="L45" s="6">
        <v>4</v>
      </c>
      <c r="M45" s="6">
        <v>214.51</v>
      </c>
      <c r="N45" s="13">
        <f t="shared" si="0"/>
        <v>858.04</v>
      </c>
      <c r="O45" s="6">
        <v>20</v>
      </c>
      <c r="P45" s="6">
        <f t="shared" si="1"/>
        <v>171.608</v>
      </c>
      <c r="Q45" s="6">
        <f t="shared" si="2"/>
        <v>686.43200000000002</v>
      </c>
      <c r="R45" s="6" t="str">
        <f t="shared" si="3"/>
        <v>Low Sale</v>
      </c>
      <c r="S45" s="6" t="str" cm="1">
        <f t="array" ref="S45">_xlfn.IFS(L45&gt;5,"High",L45=5,"Medium",L45&lt;5,"Low")</f>
        <v>Low</v>
      </c>
      <c r="T45" s="6" t="str">
        <f t="shared" si="4"/>
        <v>Low</v>
      </c>
    </row>
    <row r="46" spans="1:20" x14ac:dyDescent="0.25">
      <c r="A46" s="6">
        <v>10045</v>
      </c>
      <c r="B46" s="6">
        <v>1699</v>
      </c>
      <c r="C46" s="11">
        <v>45139</v>
      </c>
      <c r="D46" s="11">
        <v>45147</v>
      </c>
      <c r="E46" s="6" t="s">
        <v>97</v>
      </c>
      <c r="F46" s="6" t="s">
        <v>79</v>
      </c>
      <c r="G46" s="6" t="s">
        <v>80</v>
      </c>
      <c r="H46" s="6" t="s">
        <v>88</v>
      </c>
      <c r="I46" s="6" t="s">
        <v>89</v>
      </c>
      <c r="J46" s="6" t="s">
        <v>124</v>
      </c>
      <c r="K46" s="6" t="s">
        <v>110</v>
      </c>
      <c r="L46" s="6">
        <v>1</v>
      </c>
      <c r="M46" s="6">
        <v>2764.92</v>
      </c>
      <c r="N46" s="13">
        <f t="shared" si="0"/>
        <v>2764.92</v>
      </c>
      <c r="O46" s="6">
        <v>0</v>
      </c>
      <c r="P46" s="6">
        <f t="shared" si="1"/>
        <v>0</v>
      </c>
      <c r="Q46" s="6">
        <f t="shared" si="2"/>
        <v>2764.92</v>
      </c>
      <c r="R46" s="6" t="str">
        <f t="shared" si="3"/>
        <v>Low Sale</v>
      </c>
      <c r="S46" s="6" t="str" cm="1">
        <f t="array" ref="S46">_xlfn.IFS(L46&gt;5,"High",L46=5,"Medium",L46&lt;5,"Low")</f>
        <v>Low</v>
      </c>
      <c r="T46" s="6" t="str">
        <f t="shared" si="4"/>
        <v>Low</v>
      </c>
    </row>
    <row r="47" spans="1:20" x14ac:dyDescent="0.25">
      <c r="A47" s="6">
        <v>10046</v>
      </c>
      <c r="B47" s="6">
        <v>1975</v>
      </c>
      <c r="C47" s="11">
        <v>45209</v>
      </c>
      <c r="D47" s="11">
        <v>45211</v>
      </c>
      <c r="E47" s="6" t="s">
        <v>100</v>
      </c>
      <c r="F47" s="6" t="s">
        <v>117</v>
      </c>
      <c r="G47" s="6" t="s">
        <v>87</v>
      </c>
      <c r="H47" s="6" t="s">
        <v>81</v>
      </c>
      <c r="I47" s="6" t="s">
        <v>112</v>
      </c>
      <c r="J47" s="6" t="s">
        <v>114</v>
      </c>
      <c r="K47" s="6" t="s">
        <v>108</v>
      </c>
      <c r="L47" s="6">
        <v>8</v>
      </c>
      <c r="M47" s="6">
        <v>444.79</v>
      </c>
      <c r="N47" s="13">
        <f t="shared" si="0"/>
        <v>3558.32</v>
      </c>
      <c r="O47" s="6">
        <v>10</v>
      </c>
      <c r="P47" s="6">
        <f t="shared" si="1"/>
        <v>355.83200000000005</v>
      </c>
      <c r="Q47" s="6">
        <f t="shared" si="2"/>
        <v>3202.4880000000003</v>
      </c>
      <c r="R47" s="6" t="str">
        <f t="shared" si="3"/>
        <v>High Sale</v>
      </c>
      <c r="S47" s="6" t="str" cm="1">
        <f t="array" ref="S47">_xlfn.IFS(L47&gt;5,"High",L47=5,"Medium",L47&lt;5,"Low")</f>
        <v>High</v>
      </c>
      <c r="T47" s="6" t="str">
        <f t="shared" si="4"/>
        <v>High</v>
      </c>
    </row>
    <row r="48" spans="1:20" x14ac:dyDescent="0.25">
      <c r="A48" s="6">
        <v>10047</v>
      </c>
      <c r="B48" s="6">
        <v>1782</v>
      </c>
      <c r="C48" s="11">
        <v>44976</v>
      </c>
      <c r="D48" s="11">
        <v>44985</v>
      </c>
      <c r="E48" s="6" t="s">
        <v>103</v>
      </c>
      <c r="F48" s="6" t="s">
        <v>104</v>
      </c>
      <c r="G48" s="6" t="s">
        <v>80</v>
      </c>
      <c r="H48" s="6" t="s">
        <v>81</v>
      </c>
      <c r="I48" s="6" t="s">
        <v>120</v>
      </c>
      <c r="J48" s="6" t="s">
        <v>125</v>
      </c>
      <c r="K48" s="6" t="s">
        <v>110</v>
      </c>
      <c r="L48" s="6">
        <v>1</v>
      </c>
      <c r="M48" s="6">
        <v>1769.93</v>
      </c>
      <c r="N48" s="13">
        <f t="shared" si="0"/>
        <v>1769.93</v>
      </c>
      <c r="O48" s="6">
        <v>20</v>
      </c>
      <c r="P48" s="6">
        <f t="shared" si="1"/>
        <v>353.98600000000005</v>
      </c>
      <c r="Q48" s="6">
        <f t="shared" si="2"/>
        <v>1415.944</v>
      </c>
      <c r="R48" s="6" t="str">
        <f t="shared" si="3"/>
        <v>Low Sale</v>
      </c>
      <c r="S48" s="6" t="str" cm="1">
        <f t="array" ref="S48">_xlfn.IFS(L48&gt;5,"High",L48=5,"Medium",L48&lt;5,"Low")</f>
        <v>Low</v>
      </c>
      <c r="T48" s="6" t="str">
        <f t="shared" si="4"/>
        <v>Low</v>
      </c>
    </row>
    <row r="49" spans="1:20" x14ac:dyDescent="0.25">
      <c r="A49" s="6">
        <v>10048</v>
      </c>
      <c r="B49" s="6">
        <v>1189</v>
      </c>
      <c r="C49" s="11">
        <v>45021</v>
      </c>
      <c r="D49" s="11">
        <v>45027</v>
      </c>
      <c r="E49" s="6" t="s">
        <v>85</v>
      </c>
      <c r="F49" s="6" t="s">
        <v>101</v>
      </c>
      <c r="G49" s="6" t="s">
        <v>87</v>
      </c>
      <c r="H49" s="6" t="s">
        <v>107</v>
      </c>
      <c r="I49" s="6" t="s">
        <v>94</v>
      </c>
      <c r="J49" s="6" t="s">
        <v>128</v>
      </c>
      <c r="K49" s="6" t="s">
        <v>91</v>
      </c>
      <c r="L49" s="6">
        <v>5</v>
      </c>
      <c r="M49" s="6">
        <v>2466.48</v>
      </c>
      <c r="N49" s="13">
        <f t="shared" si="0"/>
        <v>12332.4</v>
      </c>
      <c r="O49" s="6">
        <v>5</v>
      </c>
      <c r="P49" s="6">
        <f t="shared" si="1"/>
        <v>616.62</v>
      </c>
      <c r="Q49" s="6">
        <f t="shared" si="2"/>
        <v>11715.779999999999</v>
      </c>
      <c r="R49" s="6" t="str">
        <f t="shared" si="3"/>
        <v>High Sale</v>
      </c>
      <c r="S49" s="6" t="str" cm="1">
        <f t="array" ref="S49">_xlfn.IFS(L49&gt;5,"High",L49=5,"Medium",L49&lt;5,"Low")</f>
        <v>Medium</v>
      </c>
      <c r="T49" s="6" t="str">
        <f t="shared" si="4"/>
        <v>Medium</v>
      </c>
    </row>
    <row r="50" spans="1:20" x14ac:dyDescent="0.25">
      <c r="A50" s="6">
        <v>10049</v>
      </c>
      <c r="B50" s="6">
        <v>1957</v>
      </c>
      <c r="C50" s="11">
        <v>45014</v>
      </c>
      <c r="D50" s="11">
        <v>45023</v>
      </c>
      <c r="E50" s="6" t="s">
        <v>109</v>
      </c>
      <c r="F50" s="6" t="s">
        <v>92</v>
      </c>
      <c r="G50" s="6" t="s">
        <v>80</v>
      </c>
      <c r="H50" s="6" t="s">
        <v>81</v>
      </c>
      <c r="I50" s="6" t="s">
        <v>89</v>
      </c>
      <c r="J50" s="6" t="s">
        <v>90</v>
      </c>
      <c r="K50" s="6" t="s">
        <v>84</v>
      </c>
      <c r="L50" s="6">
        <v>6</v>
      </c>
      <c r="M50" s="6">
        <v>3757.87</v>
      </c>
      <c r="N50" s="13">
        <f t="shared" si="0"/>
        <v>22547.22</v>
      </c>
      <c r="O50" s="6">
        <v>15</v>
      </c>
      <c r="P50" s="6">
        <f t="shared" si="1"/>
        <v>3382.0830000000001</v>
      </c>
      <c r="Q50" s="6">
        <f t="shared" si="2"/>
        <v>19165.137000000002</v>
      </c>
      <c r="R50" s="6" t="str">
        <f t="shared" si="3"/>
        <v>High Sale</v>
      </c>
      <c r="S50" s="6" t="str" cm="1">
        <f t="array" ref="S50">_xlfn.IFS(L50&gt;5,"High",L50=5,"Medium",L50&lt;5,"Low")</f>
        <v>High</v>
      </c>
      <c r="T50" s="6" t="str">
        <f t="shared" si="4"/>
        <v>High</v>
      </c>
    </row>
    <row r="51" spans="1:20" x14ac:dyDescent="0.25">
      <c r="A51" s="6">
        <v>10050</v>
      </c>
      <c r="B51" s="6">
        <v>1686</v>
      </c>
      <c r="C51" s="11">
        <v>44970</v>
      </c>
      <c r="D51" s="11">
        <v>44978</v>
      </c>
      <c r="E51" s="6" t="s">
        <v>103</v>
      </c>
      <c r="F51" s="6" t="s">
        <v>79</v>
      </c>
      <c r="G51" s="6" t="s">
        <v>80</v>
      </c>
      <c r="H51" s="6" t="s">
        <v>105</v>
      </c>
      <c r="I51" s="6" t="s">
        <v>89</v>
      </c>
      <c r="J51" s="6" t="s">
        <v>124</v>
      </c>
      <c r="K51" s="6" t="s">
        <v>91</v>
      </c>
      <c r="L51" s="6">
        <v>6</v>
      </c>
      <c r="M51" s="6">
        <v>1350.44</v>
      </c>
      <c r="N51" s="13">
        <f t="shared" si="0"/>
        <v>8102.64</v>
      </c>
      <c r="O51" s="6">
        <v>20</v>
      </c>
      <c r="P51" s="6">
        <f t="shared" si="1"/>
        <v>1620.5280000000002</v>
      </c>
      <c r="Q51" s="6">
        <f t="shared" si="2"/>
        <v>6482.1120000000001</v>
      </c>
      <c r="R51" s="6" t="str">
        <f t="shared" si="3"/>
        <v>High Sale</v>
      </c>
      <c r="S51" s="6" t="str" cm="1">
        <f t="array" ref="S51">_xlfn.IFS(L51&gt;5,"High",L51=5,"Medium",L51&lt;5,"Low")</f>
        <v>High</v>
      </c>
      <c r="T51" s="6" t="str">
        <f t="shared" si="4"/>
        <v>High</v>
      </c>
    </row>
    <row r="52" spans="1:20" x14ac:dyDescent="0.25">
      <c r="A52" s="6">
        <v>10052</v>
      </c>
      <c r="B52" s="6">
        <v>1562</v>
      </c>
      <c r="C52" s="11">
        <v>45097</v>
      </c>
      <c r="D52" s="11">
        <v>45098</v>
      </c>
      <c r="E52" s="6" t="s">
        <v>85</v>
      </c>
      <c r="F52" s="6" t="s">
        <v>117</v>
      </c>
      <c r="G52" s="6" t="s">
        <v>87</v>
      </c>
      <c r="H52" s="6" t="s">
        <v>98</v>
      </c>
      <c r="I52" s="6" t="s">
        <v>120</v>
      </c>
      <c r="J52" s="6" t="s">
        <v>125</v>
      </c>
      <c r="K52" s="6" t="s">
        <v>96</v>
      </c>
      <c r="L52" s="6">
        <v>3</v>
      </c>
      <c r="M52" s="6">
        <v>2668.52</v>
      </c>
      <c r="N52" s="13">
        <f t="shared" si="0"/>
        <v>8005.5599999999995</v>
      </c>
      <c r="O52" s="6">
        <v>5</v>
      </c>
      <c r="P52" s="6">
        <f t="shared" si="1"/>
        <v>400.27800000000002</v>
      </c>
      <c r="Q52" s="6">
        <f t="shared" si="2"/>
        <v>7605.2819999999992</v>
      </c>
      <c r="R52" s="6" t="str">
        <f t="shared" si="3"/>
        <v>Low Sale</v>
      </c>
      <c r="S52" s="6" t="str" cm="1">
        <f t="array" ref="S52">_xlfn.IFS(L52&gt;5,"High",L52=5,"Medium",L52&lt;5,"Low")</f>
        <v>Low</v>
      </c>
      <c r="T52" s="6" t="str">
        <f t="shared" si="4"/>
        <v>Low</v>
      </c>
    </row>
    <row r="53" spans="1:20" x14ac:dyDescent="0.25">
      <c r="A53" s="6">
        <v>10053</v>
      </c>
      <c r="B53" s="6">
        <v>1875</v>
      </c>
      <c r="C53" s="11">
        <v>45115</v>
      </c>
      <c r="D53" s="11">
        <v>45118</v>
      </c>
      <c r="E53" s="6" t="s">
        <v>109</v>
      </c>
      <c r="F53" s="6" t="s">
        <v>79</v>
      </c>
      <c r="G53" s="6" t="s">
        <v>80</v>
      </c>
      <c r="H53" s="6" t="s">
        <v>98</v>
      </c>
      <c r="I53" s="6" t="s">
        <v>115</v>
      </c>
      <c r="J53" s="6" t="s">
        <v>127</v>
      </c>
      <c r="K53" s="6" t="s">
        <v>84</v>
      </c>
      <c r="L53" s="6">
        <v>5</v>
      </c>
      <c r="M53" s="6">
        <v>2534.0700000000002</v>
      </c>
      <c r="N53" s="13">
        <f t="shared" si="0"/>
        <v>12670.35</v>
      </c>
      <c r="O53" s="6">
        <v>10</v>
      </c>
      <c r="P53" s="6">
        <f t="shared" si="1"/>
        <v>1267.0350000000001</v>
      </c>
      <c r="Q53" s="6">
        <f t="shared" si="2"/>
        <v>11403.315000000001</v>
      </c>
      <c r="R53" s="6" t="str">
        <f t="shared" si="3"/>
        <v>High Sale</v>
      </c>
      <c r="S53" s="6" t="str" cm="1">
        <f t="array" ref="S53">_xlfn.IFS(L53&gt;5,"High",L53=5,"Medium",L53&lt;5,"Low")</f>
        <v>Medium</v>
      </c>
      <c r="T53" s="6" t="str">
        <f t="shared" si="4"/>
        <v>Medium</v>
      </c>
    </row>
    <row r="54" spans="1:20" x14ac:dyDescent="0.25">
      <c r="A54" s="6">
        <v>10054</v>
      </c>
      <c r="B54" s="6">
        <v>1566</v>
      </c>
      <c r="C54" s="11">
        <v>45279</v>
      </c>
      <c r="D54" s="11">
        <v>45281</v>
      </c>
      <c r="E54" s="6" t="s">
        <v>103</v>
      </c>
      <c r="F54" s="6" t="s">
        <v>86</v>
      </c>
      <c r="G54" s="6" t="s">
        <v>87</v>
      </c>
      <c r="H54" s="6" t="s">
        <v>88</v>
      </c>
      <c r="I54" s="6" t="s">
        <v>112</v>
      </c>
      <c r="J54" s="6" t="s">
        <v>113</v>
      </c>
      <c r="K54" s="6" t="s">
        <v>84</v>
      </c>
      <c r="L54" s="6">
        <v>8</v>
      </c>
      <c r="M54" s="6">
        <v>1428.62</v>
      </c>
      <c r="N54" s="13">
        <f t="shared" si="0"/>
        <v>11428.96</v>
      </c>
      <c r="O54" s="6">
        <v>10</v>
      </c>
      <c r="P54" s="6">
        <f t="shared" si="1"/>
        <v>1142.896</v>
      </c>
      <c r="Q54" s="6">
        <f t="shared" si="2"/>
        <v>10286.063999999998</v>
      </c>
      <c r="R54" s="6" t="str">
        <f t="shared" si="3"/>
        <v>High Sale</v>
      </c>
      <c r="S54" s="6" t="str" cm="1">
        <f t="array" ref="S54">_xlfn.IFS(L54&gt;5,"High",L54=5,"Medium",L54&lt;5,"Low")</f>
        <v>High</v>
      </c>
      <c r="T54" s="6" t="str">
        <f t="shared" si="4"/>
        <v>High</v>
      </c>
    </row>
    <row r="55" spans="1:20" x14ac:dyDescent="0.25">
      <c r="A55" s="6">
        <v>10055</v>
      </c>
      <c r="B55" s="6">
        <v>1243</v>
      </c>
      <c r="C55" s="11">
        <v>45110</v>
      </c>
      <c r="D55" s="11">
        <v>45115</v>
      </c>
      <c r="E55" s="6" t="s">
        <v>100</v>
      </c>
      <c r="F55" s="6" t="s">
        <v>79</v>
      </c>
      <c r="G55" s="6" t="s">
        <v>87</v>
      </c>
      <c r="H55" s="6" t="s">
        <v>81</v>
      </c>
      <c r="I55" s="6" t="s">
        <v>115</v>
      </c>
      <c r="J55" s="6" t="s">
        <v>127</v>
      </c>
      <c r="K55" s="6" t="s">
        <v>108</v>
      </c>
      <c r="L55" s="6">
        <v>2</v>
      </c>
      <c r="M55" s="6">
        <v>3723.19</v>
      </c>
      <c r="N55" s="13">
        <f t="shared" si="0"/>
        <v>7446.38</v>
      </c>
      <c r="O55" s="6">
        <v>5</v>
      </c>
      <c r="P55" s="6">
        <f t="shared" si="1"/>
        <v>372.31900000000002</v>
      </c>
      <c r="Q55" s="6">
        <f t="shared" si="2"/>
        <v>7074.0609999999997</v>
      </c>
      <c r="R55" s="6" t="str">
        <f t="shared" si="3"/>
        <v>Low Sale</v>
      </c>
      <c r="S55" s="6" t="str" cm="1">
        <f t="array" ref="S55">_xlfn.IFS(L55&gt;5,"High",L55=5,"Medium",L55&lt;5,"Low")</f>
        <v>Low</v>
      </c>
      <c r="T55" s="6" t="str">
        <f t="shared" si="4"/>
        <v>Low</v>
      </c>
    </row>
    <row r="56" spans="1:20" x14ac:dyDescent="0.25">
      <c r="A56" s="6">
        <v>10056</v>
      </c>
      <c r="B56" s="6">
        <v>1831</v>
      </c>
      <c r="C56" s="11">
        <v>44929</v>
      </c>
      <c r="D56" s="11">
        <v>44934</v>
      </c>
      <c r="E56" s="6" t="s">
        <v>100</v>
      </c>
      <c r="F56" s="6" t="s">
        <v>92</v>
      </c>
      <c r="G56" s="6" t="s">
        <v>80</v>
      </c>
      <c r="H56" s="6" t="s">
        <v>105</v>
      </c>
      <c r="I56" s="6" t="s">
        <v>120</v>
      </c>
      <c r="J56" s="6" t="s">
        <v>125</v>
      </c>
      <c r="K56" s="6" t="s">
        <v>108</v>
      </c>
      <c r="L56" s="6">
        <v>6</v>
      </c>
      <c r="M56" s="6">
        <v>3402.72</v>
      </c>
      <c r="N56" s="13">
        <f t="shared" si="0"/>
        <v>20416.32</v>
      </c>
      <c r="O56" s="6">
        <v>15</v>
      </c>
      <c r="P56" s="6">
        <f t="shared" si="1"/>
        <v>3062.4479999999999</v>
      </c>
      <c r="Q56" s="6">
        <f t="shared" si="2"/>
        <v>17353.871999999999</v>
      </c>
      <c r="R56" s="6" t="str">
        <f t="shared" si="3"/>
        <v>High Sale</v>
      </c>
      <c r="S56" s="6" t="str" cm="1">
        <f t="array" ref="S56">_xlfn.IFS(L56&gt;5,"High",L56=5,"Medium",L56&lt;5,"Low")</f>
        <v>High</v>
      </c>
      <c r="T56" s="6" t="str">
        <f t="shared" si="4"/>
        <v>High</v>
      </c>
    </row>
    <row r="57" spans="1:20" x14ac:dyDescent="0.25">
      <c r="A57" s="6">
        <v>10057</v>
      </c>
      <c r="B57" s="6">
        <v>1504</v>
      </c>
      <c r="C57" s="11">
        <v>45117</v>
      </c>
      <c r="D57" s="11">
        <v>45122</v>
      </c>
      <c r="E57" s="6" t="s">
        <v>100</v>
      </c>
      <c r="F57" s="6" t="s">
        <v>92</v>
      </c>
      <c r="G57" s="6" t="s">
        <v>80</v>
      </c>
      <c r="H57" s="6" t="s">
        <v>88</v>
      </c>
      <c r="I57" s="6" t="s">
        <v>120</v>
      </c>
      <c r="J57" s="6" t="s">
        <v>121</v>
      </c>
      <c r="K57" s="6" t="s">
        <v>96</v>
      </c>
      <c r="L57" s="6">
        <v>9</v>
      </c>
      <c r="M57" s="6">
        <v>1012.33</v>
      </c>
      <c r="N57" s="13">
        <f t="shared" si="0"/>
        <v>9110.9700000000012</v>
      </c>
      <c r="O57" s="6">
        <v>20</v>
      </c>
      <c r="P57" s="6">
        <f t="shared" si="1"/>
        <v>1822.1940000000004</v>
      </c>
      <c r="Q57" s="6">
        <f t="shared" si="2"/>
        <v>7288.7760000000007</v>
      </c>
      <c r="R57" s="6" t="str">
        <f t="shared" si="3"/>
        <v>High Sale</v>
      </c>
      <c r="S57" s="6" t="str" cm="1">
        <f t="array" ref="S57">_xlfn.IFS(L57&gt;5,"High",L57=5,"Medium",L57&lt;5,"Low")</f>
        <v>High</v>
      </c>
      <c r="T57" s="6" t="str">
        <f t="shared" si="4"/>
        <v>High</v>
      </c>
    </row>
    <row r="58" spans="1:20" x14ac:dyDescent="0.25">
      <c r="A58" s="6">
        <v>10059</v>
      </c>
      <c r="B58" s="6">
        <v>1484</v>
      </c>
      <c r="C58" s="11">
        <v>44945</v>
      </c>
      <c r="D58" s="11">
        <v>44950</v>
      </c>
      <c r="E58" s="6" t="s">
        <v>103</v>
      </c>
      <c r="F58" s="6" t="s">
        <v>104</v>
      </c>
      <c r="G58" s="6" t="s">
        <v>87</v>
      </c>
      <c r="H58" s="6" t="s">
        <v>105</v>
      </c>
      <c r="I58" s="6" t="s">
        <v>115</v>
      </c>
      <c r="J58" s="6" t="s">
        <v>127</v>
      </c>
      <c r="K58" s="6" t="s">
        <v>96</v>
      </c>
      <c r="L58" s="6">
        <v>8</v>
      </c>
      <c r="M58" s="6">
        <v>2122.36</v>
      </c>
      <c r="N58" s="13">
        <f t="shared" si="0"/>
        <v>16978.88</v>
      </c>
      <c r="O58" s="6">
        <v>0</v>
      </c>
      <c r="P58" s="6">
        <f t="shared" si="1"/>
        <v>0</v>
      </c>
      <c r="Q58" s="6">
        <f t="shared" si="2"/>
        <v>16978.88</v>
      </c>
      <c r="R58" s="6" t="str">
        <f t="shared" si="3"/>
        <v>High Sale</v>
      </c>
      <c r="S58" s="6" t="str" cm="1">
        <f t="array" ref="S58">_xlfn.IFS(L58&gt;5,"High",L58=5,"Medium",L58&lt;5,"Low")</f>
        <v>High</v>
      </c>
      <c r="T58" s="6" t="str">
        <f t="shared" si="4"/>
        <v>High</v>
      </c>
    </row>
    <row r="59" spans="1:20" x14ac:dyDescent="0.25">
      <c r="A59" s="6">
        <v>10060</v>
      </c>
      <c r="B59" s="6">
        <v>1818</v>
      </c>
      <c r="C59" s="11">
        <v>44949</v>
      </c>
      <c r="D59" s="11">
        <v>44952</v>
      </c>
      <c r="E59" s="6" t="s">
        <v>109</v>
      </c>
      <c r="F59" s="6" t="s">
        <v>104</v>
      </c>
      <c r="G59" s="6" t="s">
        <v>93</v>
      </c>
      <c r="H59" s="6" t="s">
        <v>105</v>
      </c>
      <c r="I59" s="6" t="s">
        <v>120</v>
      </c>
      <c r="J59" s="6" t="s">
        <v>125</v>
      </c>
      <c r="K59" s="6" t="s">
        <v>108</v>
      </c>
      <c r="L59" s="6">
        <v>8</v>
      </c>
      <c r="M59" s="6">
        <v>3128.25</v>
      </c>
      <c r="N59" s="13">
        <f t="shared" si="0"/>
        <v>25026</v>
      </c>
      <c r="O59" s="6">
        <v>15</v>
      </c>
      <c r="P59" s="6">
        <f t="shared" si="1"/>
        <v>3753.8999999999996</v>
      </c>
      <c r="Q59" s="6">
        <f t="shared" si="2"/>
        <v>21272.1</v>
      </c>
      <c r="R59" s="6" t="str">
        <f t="shared" si="3"/>
        <v>High Sale</v>
      </c>
      <c r="S59" s="6" t="str" cm="1">
        <f t="array" ref="S59">_xlfn.IFS(L59&gt;5,"High",L59=5,"Medium",L59&lt;5,"Low")</f>
        <v>High</v>
      </c>
      <c r="T59" s="6" t="str">
        <f t="shared" si="4"/>
        <v>High</v>
      </c>
    </row>
    <row r="60" spans="1:20" x14ac:dyDescent="0.25">
      <c r="A60" s="6">
        <v>10061</v>
      </c>
      <c r="B60" s="6">
        <v>1646</v>
      </c>
      <c r="C60" s="11">
        <v>44956</v>
      </c>
      <c r="D60" s="11">
        <v>44957</v>
      </c>
      <c r="E60" s="6" t="s">
        <v>100</v>
      </c>
      <c r="F60" s="6" t="s">
        <v>117</v>
      </c>
      <c r="G60" s="6" t="s">
        <v>87</v>
      </c>
      <c r="H60" s="6" t="s">
        <v>105</v>
      </c>
      <c r="I60" s="6" t="s">
        <v>89</v>
      </c>
      <c r="J60" s="6" t="s">
        <v>99</v>
      </c>
      <c r="K60" s="6" t="s">
        <v>108</v>
      </c>
      <c r="L60" s="6">
        <v>7</v>
      </c>
      <c r="M60" s="6">
        <v>319.56</v>
      </c>
      <c r="N60" s="13">
        <f t="shared" si="0"/>
        <v>2236.92</v>
      </c>
      <c r="O60" s="6">
        <v>10</v>
      </c>
      <c r="P60" s="6">
        <f t="shared" si="1"/>
        <v>223.69200000000001</v>
      </c>
      <c r="Q60" s="6">
        <f t="shared" si="2"/>
        <v>2013.2280000000001</v>
      </c>
      <c r="R60" s="6" t="str">
        <f t="shared" si="3"/>
        <v>High Sale</v>
      </c>
      <c r="S60" s="6" t="str" cm="1">
        <f t="array" ref="S60">_xlfn.IFS(L60&gt;5,"High",L60=5,"Medium",L60&lt;5,"Low")</f>
        <v>High</v>
      </c>
      <c r="T60" s="6" t="str">
        <f t="shared" si="4"/>
        <v>High</v>
      </c>
    </row>
    <row r="61" spans="1:20" x14ac:dyDescent="0.25">
      <c r="A61" s="6">
        <v>10063</v>
      </c>
      <c r="B61" s="6">
        <v>1840</v>
      </c>
      <c r="C61" s="11">
        <v>45034</v>
      </c>
      <c r="D61" s="11">
        <v>45043</v>
      </c>
      <c r="E61" s="6" t="s">
        <v>103</v>
      </c>
      <c r="F61" s="6" t="s">
        <v>86</v>
      </c>
      <c r="G61" s="6" t="s">
        <v>93</v>
      </c>
      <c r="H61" s="6" t="s">
        <v>105</v>
      </c>
      <c r="I61" s="6" t="s">
        <v>120</v>
      </c>
      <c r="J61" s="6" t="s">
        <v>125</v>
      </c>
      <c r="K61" s="6" t="s">
        <v>91</v>
      </c>
      <c r="L61" s="6">
        <v>6</v>
      </c>
      <c r="M61" s="6">
        <v>2645.71</v>
      </c>
      <c r="N61" s="13">
        <f t="shared" si="0"/>
        <v>15874.26</v>
      </c>
      <c r="O61" s="6">
        <v>10</v>
      </c>
      <c r="P61" s="6">
        <f t="shared" si="1"/>
        <v>1587.4260000000002</v>
      </c>
      <c r="Q61" s="6">
        <f t="shared" si="2"/>
        <v>14286.834000000001</v>
      </c>
      <c r="R61" s="6" t="str">
        <f t="shared" si="3"/>
        <v>High Sale</v>
      </c>
      <c r="S61" s="6" t="str" cm="1">
        <f t="array" ref="S61">_xlfn.IFS(L61&gt;5,"High",L61=5,"Medium",L61&lt;5,"Low")</f>
        <v>High</v>
      </c>
      <c r="T61" s="6" t="str">
        <f t="shared" si="4"/>
        <v>High</v>
      </c>
    </row>
    <row r="62" spans="1:20" x14ac:dyDescent="0.25">
      <c r="A62" s="6">
        <v>10064</v>
      </c>
      <c r="B62" s="6">
        <v>1166</v>
      </c>
      <c r="C62" s="11">
        <v>45207</v>
      </c>
      <c r="D62" s="11">
        <v>45216</v>
      </c>
      <c r="E62" s="6" t="s">
        <v>103</v>
      </c>
      <c r="F62" s="6" t="s">
        <v>79</v>
      </c>
      <c r="G62" s="6" t="s">
        <v>93</v>
      </c>
      <c r="H62" s="6" t="s">
        <v>81</v>
      </c>
      <c r="I62" s="6" t="s">
        <v>89</v>
      </c>
      <c r="J62" s="6" t="s">
        <v>99</v>
      </c>
      <c r="K62" s="6" t="s">
        <v>110</v>
      </c>
      <c r="L62" s="6">
        <v>2</v>
      </c>
      <c r="M62" s="6">
        <v>1041.2</v>
      </c>
      <c r="N62" s="13">
        <f t="shared" si="0"/>
        <v>2082.4</v>
      </c>
      <c r="O62" s="6">
        <v>15</v>
      </c>
      <c r="P62" s="6">
        <f t="shared" si="1"/>
        <v>312.36</v>
      </c>
      <c r="Q62" s="6">
        <f t="shared" si="2"/>
        <v>1770.04</v>
      </c>
      <c r="R62" s="6" t="str">
        <f t="shared" si="3"/>
        <v>Low Sale</v>
      </c>
      <c r="S62" s="6" t="str" cm="1">
        <f t="array" ref="S62">_xlfn.IFS(L62&gt;5,"High",L62=5,"Medium",L62&lt;5,"Low")</f>
        <v>Low</v>
      </c>
      <c r="T62" s="6" t="str">
        <f t="shared" si="4"/>
        <v>Low</v>
      </c>
    </row>
    <row r="63" spans="1:20" x14ac:dyDescent="0.25">
      <c r="A63" s="6">
        <v>10065</v>
      </c>
      <c r="B63" s="6">
        <v>1273</v>
      </c>
      <c r="C63" s="11">
        <v>45054</v>
      </c>
      <c r="D63" s="11">
        <v>45058</v>
      </c>
      <c r="E63" s="6" t="s">
        <v>78</v>
      </c>
      <c r="F63" s="6" t="s">
        <v>101</v>
      </c>
      <c r="G63" s="6" t="s">
        <v>80</v>
      </c>
      <c r="H63" s="6" t="s">
        <v>105</v>
      </c>
      <c r="I63" s="6" t="s">
        <v>82</v>
      </c>
      <c r="J63" s="6" t="s">
        <v>106</v>
      </c>
      <c r="K63" s="6" t="s">
        <v>108</v>
      </c>
      <c r="L63" s="6">
        <v>2</v>
      </c>
      <c r="M63" s="6">
        <v>2773.21</v>
      </c>
      <c r="N63" s="13">
        <f t="shared" si="0"/>
        <v>5546.42</v>
      </c>
      <c r="O63" s="6">
        <v>10</v>
      </c>
      <c r="P63" s="6">
        <f t="shared" si="1"/>
        <v>554.64200000000005</v>
      </c>
      <c r="Q63" s="6">
        <f t="shared" si="2"/>
        <v>4991.7780000000002</v>
      </c>
      <c r="R63" s="6" t="str">
        <f t="shared" si="3"/>
        <v>Low Sale</v>
      </c>
      <c r="S63" s="6" t="str" cm="1">
        <f t="array" ref="S63">_xlfn.IFS(L63&gt;5,"High",L63=5,"Medium",L63&lt;5,"Low")</f>
        <v>Low</v>
      </c>
      <c r="T63" s="6" t="str">
        <f t="shared" si="4"/>
        <v>Low</v>
      </c>
    </row>
    <row r="64" spans="1:20" x14ac:dyDescent="0.25">
      <c r="A64" s="6">
        <v>10066</v>
      </c>
      <c r="B64" s="6">
        <v>1387</v>
      </c>
      <c r="C64" s="11">
        <v>45155</v>
      </c>
      <c r="D64" s="11">
        <v>45158</v>
      </c>
      <c r="E64" s="6" t="s">
        <v>78</v>
      </c>
      <c r="F64" s="6" t="s">
        <v>86</v>
      </c>
      <c r="G64" s="6" t="s">
        <v>80</v>
      </c>
      <c r="H64" s="6" t="s">
        <v>98</v>
      </c>
      <c r="I64" s="6" t="s">
        <v>120</v>
      </c>
      <c r="J64" s="6" t="s">
        <v>129</v>
      </c>
      <c r="K64" s="6" t="s">
        <v>108</v>
      </c>
      <c r="L64" s="6">
        <v>8</v>
      </c>
      <c r="M64" s="6">
        <v>3769.71</v>
      </c>
      <c r="N64" s="13">
        <f t="shared" si="0"/>
        <v>30157.68</v>
      </c>
      <c r="O64" s="6">
        <v>5</v>
      </c>
      <c r="P64" s="6">
        <f t="shared" si="1"/>
        <v>1507.884</v>
      </c>
      <c r="Q64" s="6">
        <f t="shared" si="2"/>
        <v>28649.796000000002</v>
      </c>
      <c r="R64" s="6" t="str">
        <f t="shared" si="3"/>
        <v>High Sale</v>
      </c>
      <c r="S64" s="6" t="str" cm="1">
        <f t="array" ref="S64">_xlfn.IFS(L64&gt;5,"High",L64=5,"Medium",L64&lt;5,"Low")</f>
        <v>High</v>
      </c>
      <c r="T64" s="6" t="str">
        <f t="shared" si="4"/>
        <v>High</v>
      </c>
    </row>
    <row r="65" spans="1:20" x14ac:dyDescent="0.25">
      <c r="A65" s="6">
        <v>10067</v>
      </c>
      <c r="B65" s="6">
        <v>1600</v>
      </c>
      <c r="C65" s="11">
        <v>45037</v>
      </c>
      <c r="D65" s="11">
        <v>45038</v>
      </c>
      <c r="E65" s="6" t="s">
        <v>79</v>
      </c>
      <c r="F65" s="6" t="s">
        <v>104</v>
      </c>
      <c r="G65" s="6" t="s">
        <v>87</v>
      </c>
      <c r="H65" s="6" t="s">
        <v>105</v>
      </c>
      <c r="I65" s="6" t="s">
        <v>115</v>
      </c>
      <c r="J65" s="6" t="s">
        <v>127</v>
      </c>
      <c r="K65" s="6" t="s">
        <v>91</v>
      </c>
      <c r="L65" s="6">
        <v>1</v>
      </c>
      <c r="M65" s="6">
        <v>330.13</v>
      </c>
      <c r="N65" s="13">
        <f t="shared" si="0"/>
        <v>330.13</v>
      </c>
      <c r="O65" s="6">
        <v>15</v>
      </c>
      <c r="P65" s="6">
        <f t="shared" si="1"/>
        <v>49.519500000000001</v>
      </c>
      <c r="Q65" s="6">
        <f t="shared" si="2"/>
        <v>280.6105</v>
      </c>
      <c r="R65" s="6" t="str">
        <f t="shared" si="3"/>
        <v>Low Sale</v>
      </c>
      <c r="S65" s="6" t="str" cm="1">
        <f t="array" ref="S65">_xlfn.IFS(L65&gt;5,"High",L65=5,"Medium",L65&lt;5,"Low")</f>
        <v>Low</v>
      </c>
      <c r="T65" s="6" t="str">
        <f t="shared" si="4"/>
        <v>Low</v>
      </c>
    </row>
    <row r="66" spans="1:20" x14ac:dyDescent="0.25">
      <c r="A66" s="6">
        <v>10068</v>
      </c>
      <c r="B66" s="6">
        <v>1315</v>
      </c>
      <c r="C66" s="11">
        <v>45062</v>
      </c>
      <c r="D66" s="11">
        <v>45064</v>
      </c>
      <c r="E66" s="6" t="s">
        <v>97</v>
      </c>
      <c r="F66" s="6" t="s">
        <v>104</v>
      </c>
      <c r="G66" s="6" t="s">
        <v>93</v>
      </c>
      <c r="H66" s="6" t="s">
        <v>107</v>
      </c>
      <c r="I66" s="6" t="s">
        <v>94</v>
      </c>
      <c r="J66" s="6" t="s">
        <v>111</v>
      </c>
      <c r="K66" s="6" t="s">
        <v>91</v>
      </c>
      <c r="L66" s="6">
        <v>6</v>
      </c>
      <c r="M66" s="6">
        <v>1380.66</v>
      </c>
      <c r="N66" s="13">
        <f t="shared" si="0"/>
        <v>8283.9600000000009</v>
      </c>
      <c r="O66" s="6">
        <v>0</v>
      </c>
      <c r="P66" s="6">
        <f t="shared" si="1"/>
        <v>0</v>
      </c>
      <c r="Q66" s="6">
        <f t="shared" si="2"/>
        <v>8283.9600000000009</v>
      </c>
      <c r="R66" s="6" t="str">
        <f t="shared" si="3"/>
        <v>High Sale</v>
      </c>
      <c r="S66" s="6" t="str" cm="1">
        <f t="array" ref="S66">_xlfn.IFS(L66&gt;5,"High",L66=5,"Medium",L66&lt;5,"Low")</f>
        <v>High</v>
      </c>
      <c r="T66" s="6" t="str">
        <f t="shared" si="4"/>
        <v>High</v>
      </c>
    </row>
    <row r="67" spans="1:20" x14ac:dyDescent="0.25">
      <c r="A67" s="6">
        <v>10069</v>
      </c>
      <c r="B67" s="6">
        <v>1013</v>
      </c>
      <c r="C67" s="11">
        <v>45288</v>
      </c>
      <c r="D67" s="11">
        <v>45296</v>
      </c>
      <c r="E67" s="6" t="s">
        <v>78</v>
      </c>
      <c r="F67" s="6" t="s">
        <v>86</v>
      </c>
      <c r="G67" s="6" t="s">
        <v>80</v>
      </c>
      <c r="H67" s="6" t="s">
        <v>107</v>
      </c>
      <c r="I67" s="6" t="s">
        <v>120</v>
      </c>
      <c r="J67" s="6" t="s">
        <v>125</v>
      </c>
      <c r="K67" s="6" t="s">
        <v>96</v>
      </c>
      <c r="L67" s="6">
        <v>6</v>
      </c>
      <c r="M67" s="6">
        <v>1836.98</v>
      </c>
      <c r="N67" s="13">
        <f t="shared" ref="N67:N130" si="5">L67*M67</f>
        <v>11021.880000000001</v>
      </c>
      <c r="O67" s="6">
        <v>5</v>
      </c>
      <c r="P67" s="6">
        <f t="shared" ref="P67:P130" si="6">N67*O67%</f>
        <v>551.09400000000005</v>
      </c>
      <c r="Q67" s="6">
        <f t="shared" ref="Q67:Q130" si="7">N67-P67</f>
        <v>10470.786</v>
      </c>
      <c r="R67" s="6" t="str">
        <f t="shared" ref="R67:R130" si="8">IF(L67&gt;=5,"High Sale", "Low Sale")</f>
        <v>High Sale</v>
      </c>
      <c r="S67" s="6" t="str" cm="1">
        <f t="array" ref="S67">_xlfn.IFS(L67&gt;5,"High",L67=5,"Medium",L67&lt;5,"Low")</f>
        <v>High</v>
      </c>
      <c r="T67" s="6" t="str">
        <f t="shared" ref="T67:T130" si="9">IF(L67&gt;5,"High",IF(L67=5,"Medium","Low"))</f>
        <v>High</v>
      </c>
    </row>
    <row r="68" spans="1:20" x14ac:dyDescent="0.25">
      <c r="A68" s="6">
        <v>10070</v>
      </c>
      <c r="B68" s="6">
        <v>1241</v>
      </c>
      <c r="C68" s="11">
        <v>45112</v>
      </c>
      <c r="D68" s="11">
        <v>45113</v>
      </c>
      <c r="E68" s="6" t="s">
        <v>109</v>
      </c>
      <c r="F68" s="6" t="s">
        <v>104</v>
      </c>
      <c r="G68" s="6" t="s">
        <v>80</v>
      </c>
      <c r="H68" s="6" t="s">
        <v>98</v>
      </c>
      <c r="I68" s="6" t="s">
        <v>94</v>
      </c>
      <c r="J68" s="6" t="s">
        <v>102</v>
      </c>
      <c r="K68" s="6" t="s">
        <v>96</v>
      </c>
      <c r="L68" s="6">
        <v>4</v>
      </c>
      <c r="M68" s="6">
        <v>3612.15</v>
      </c>
      <c r="N68" s="13">
        <f t="shared" si="5"/>
        <v>14448.6</v>
      </c>
      <c r="O68" s="6">
        <v>20</v>
      </c>
      <c r="P68" s="6">
        <f t="shared" si="6"/>
        <v>2889.7200000000003</v>
      </c>
      <c r="Q68" s="6">
        <f t="shared" si="7"/>
        <v>11558.880000000001</v>
      </c>
      <c r="R68" s="6" t="str">
        <f t="shared" si="8"/>
        <v>Low Sale</v>
      </c>
      <c r="S68" s="6" t="str" cm="1">
        <f t="array" ref="S68">_xlfn.IFS(L68&gt;5,"High",L68=5,"Medium",L68&lt;5,"Low")</f>
        <v>Low</v>
      </c>
      <c r="T68" s="6" t="str">
        <f t="shared" si="9"/>
        <v>Low</v>
      </c>
    </row>
    <row r="69" spans="1:20" x14ac:dyDescent="0.25">
      <c r="A69" s="6">
        <v>10071</v>
      </c>
      <c r="B69" s="6">
        <v>1776</v>
      </c>
      <c r="C69" s="11">
        <v>45070</v>
      </c>
      <c r="D69" s="11">
        <v>45078</v>
      </c>
      <c r="E69" s="6" t="s">
        <v>78</v>
      </c>
      <c r="F69" s="6" t="s">
        <v>92</v>
      </c>
      <c r="G69" s="6" t="s">
        <v>80</v>
      </c>
      <c r="H69" s="6" t="s">
        <v>81</v>
      </c>
      <c r="I69" s="6" t="s">
        <v>89</v>
      </c>
      <c r="J69" s="6" t="s">
        <v>124</v>
      </c>
      <c r="K69" s="6" t="s">
        <v>110</v>
      </c>
      <c r="L69" s="6">
        <v>3</v>
      </c>
      <c r="M69" s="6">
        <v>3854.71</v>
      </c>
      <c r="N69" s="13">
        <f t="shared" si="5"/>
        <v>11564.130000000001</v>
      </c>
      <c r="O69" s="6">
        <v>5</v>
      </c>
      <c r="P69" s="6">
        <f t="shared" si="6"/>
        <v>578.20650000000012</v>
      </c>
      <c r="Q69" s="6">
        <f t="shared" si="7"/>
        <v>10985.923500000001</v>
      </c>
      <c r="R69" s="6" t="str">
        <f t="shared" si="8"/>
        <v>Low Sale</v>
      </c>
      <c r="S69" s="6" t="str" cm="1">
        <f t="array" ref="S69">_xlfn.IFS(L69&gt;5,"High",L69=5,"Medium",L69&lt;5,"Low")</f>
        <v>Low</v>
      </c>
      <c r="T69" s="6" t="str">
        <f t="shared" si="9"/>
        <v>Low</v>
      </c>
    </row>
    <row r="70" spans="1:20" x14ac:dyDescent="0.25">
      <c r="A70" s="6">
        <v>10072</v>
      </c>
      <c r="B70" s="6">
        <v>1345</v>
      </c>
      <c r="C70" s="11">
        <v>44998</v>
      </c>
      <c r="D70" s="11">
        <v>45005</v>
      </c>
      <c r="E70" s="6" t="s">
        <v>79</v>
      </c>
      <c r="F70" s="6" t="s">
        <v>117</v>
      </c>
      <c r="G70" s="6" t="s">
        <v>80</v>
      </c>
      <c r="H70" s="6" t="s">
        <v>81</v>
      </c>
      <c r="I70" s="6" t="s">
        <v>82</v>
      </c>
      <c r="J70" s="6" t="s">
        <v>118</v>
      </c>
      <c r="K70" s="6" t="s">
        <v>110</v>
      </c>
      <c r="L70" s="6">
        <v>3</v>
      </c>
      <c r="M70" s="6">
        <v>1859.84</v>
      </c>
      <c r="N70" s="13">
        <f t="shared" si="5"/>
        <v>5579.5199999999995</v>
      </c>
      <c r="O70" s="6">
        <v>15</v>
      </c>
      <c r="P70" s="6">
        <f t="shared" si="6"/>
        <v>836.92799999999988</v>
      </c>
      <c r="Q70" s="6">
        <f t="shared" si="7"/>
        <v>4742.5919999999996</v>
      </c>
      <c r="R70" s="6" t="str">
        <f t="shared" si="8"/>
        <v>Low Sale</v>
      </c>
      <c r="S70" s="6" t="str" cm="1">
        <f t="array" ref="S70">_xlfn.IFS(L70&gt;5,"High",L70=5,"Medium",L70&lt;5,"Low")</f>
        <v>Low</v>
      </c>
      <c r="T70" s="6" t="str">
        <f t="shared" si="9"/>
        <v>Low</v>
      </c>
    </row>
    <row r="71" spans="1:20" x14ac:dyDescent="0.25">
      <c r="A71" s="6">
        <v>10073</v>
      </c>
      <c r="B71" s="6">
        <v>1564</v>
      </c>
      <c r="C71" s="11">
        <v>45055</v>
      </c>
      <c r="D71" s="11">
        <v>45063</v>
      </c>
      <c r="E71" s="6" t="s">
        <v>103</v>
      </c>
      <c r="F71" s="6" t="s">
        <v>79</v>
      </c>
      <c r="G71" s="6" t="s">
        <v>80</v>
      </c>
      <c r="H71" s="6" t="s">
        <v>88</v>
      </c>
      <c r="I71" s="6" t="s">
        <v>112</v>
      </c>
      <c r="J71" s="6" t="s">
        <v>130</v>
      </c>
      <c r="K71" s="6" t="s">
        <v>84</v>
      </c>
      <c r="L71" s="6">
        <v>1</v>
      </c>
      <c r="M71" s="6">
        <v>3037.61</v>
      </c>
      <c r="N71" s="13">
        <f t="shared" si="5"/>
        <v>3037.61</v>
      </c>
      <c r="O71" s="6">
        <v>5</v>
      </c>
      <c r="P71" s="6">
        <f t="shared" si="6"/>
        <v>151.88050000000001</v>
      </c>
      <c r="Q71" s="6">
        <f t="shared" si="7"/>
        <v>2885.7294999999999</v>
      </c>
      <c r="R71" s="6" t="str">
        <f t="shared" si="8"/>
        <v>Low Sale</v>
      </c>
      <c r="S71" s="6" t="str" cm="1">
        <f t="array" ref="S71">_xlfn.IFS(L71&gt;5,"High",L71=5,"Medium",L71&lt;5,"Low")</f>
        <v>Low</v>
      </c>
      <c r="T71" s="6" t="str">
        <f t="shared" si="9"/>
        <v>Low</v>
      </c>
    </row>
    <row r="72" spans="1:20" x14ac:dyDescent="0.25">
      <c r="A72" s="6">
        <v>10074</v>
      </c>
      <c r="B72" s="6">
        <v>1897</v>
      </c>
      <c r="C72" s="11">
        <v>45290</v>
      </c>
      <c r="D72" s="11">
        <v>45296</v>
      </c>
      <c r="E72" s="6" t="s">
        <v>79</v>
      </c>
      <c r="F72" s="6" t="s">
        <v>117</v>
      </c>
      <c r="G72" s="6" t="s">
        <v>93</v>
      </c>
      <c r="H72" s="6" t="s">
        <v>98</v>
      </c>
      <c r="I72" s="6" t="s">
        <v>82</v>
      </c>
      <c r="J72" s="6" t="s">
        <v>106</v>
      </c>
      <c r="K72" s="6" t="s">
        <v>96</v>
      </c>
      <c r="L72" s="6">
        <v>3</v>
      </c>
      <c r="M72" s="6">
        <v>2196.89</v>
      </c>
      <c r="N72" s="13">
        <f t="shared" si="5"/>
        <v>6590.67</v>
      </c>
      <c r="O72" s="6">
        <v>0</v>
      </c>
      <c r="P72" s="6">
        <f t="shared" si="6"/>
        <v>0</v>
      </c>
      <c r="Q72" s="6">
        <f t="shared" si="7"/>
        <v>6590.67</v>
      </c>
      <c r="R72" s="6" t="str">
        <f t="shared" si="8"/>
        <v>Low Sale</v>
      </c>
      <c r="S72" s="6" t="str" cm="1">
        <f t="array" ref="S72">_xlfn.IFS(L72&gt;5,"High",L72=5,"Medium",L72&lt;5,"Low")</f>
        <v>Low</v>
      </c>
      <c r="T72" s="6" t="str">
        <f t="shared" si="9"/>
        <v>Low</v>
      </c>
    </row>
    <row r="73" spans="1:20" x14ac:dyDescent="0.25">
      <c r="A73" s="6">
        <v>10075</v>
      </c>
      <c r="B73" s="6">
        <v>1339</v>
      </c>
      <c r="C73" s="11">
        <v>45187</v>
      </c>
      <c r="D73" s="11">
        <v>45196</v>
      </c>
      <c r="E73" s="6" t="s">
        <v>103</v>
      </c>
      <c r="F73" s="6" t="s">
        <v>79</v>
      </c>
      <c r="G73" s="6" t="s">
        <v>93</v>
      </c>
      <c r="H73" s="6" t="s">
        <v>105</v>
      </c>
      <c r="I73" s="6" t="s">
        <v>120</v>
      </c>
      <c r="J73" s="6" t="s">
        <v>121</v>
      </c>
      <c r="K73" s="6" t="s">
        <v>108</v>
      </c>
      <c r="L73" s="6">
        <v>4</v>
      </c>
      <c r="M73" s="6">
        <v>2220.46</v>
      </c>
      <c r="N73" s="13">
        <f t="shared" si="5"/>
        <v>8881.84</v>
      </c>
      <c r="O73" s="6">
        <v>0</v>
      </c>
      <c r="P73" s="6">
        <f t="shared" si="6"/>
        <v>0</v>
      </c>
      <c r="Q73" s="6">
        <f t="shared" si="7"/>
        <v>8881.84</v>
      </c>
      <c r="R73" s="6" t="str">
        <f t="shared" si="8"/>
        <v>Low Sale</v>
      </c>
      <c r="S73" s="6" t="str" cm="1">
        <f t="array" ref="S73">_xlfn.IFS(L73&gt;5,"High",L73=5,"Medium",L73&lt;5,"Low")</f>
        <v>Low</v>
      </c>
      <c r="T73" s="6" t="str">
        <f t="shared" si="9"/>
        <v>Low</v>
      </c>
    </row>
    <row r="74" spans="1:20" x14ac:dyDescent="0.25">
      <c r="A74" s="6">
        <v>10076</v>
      </c>
      <c r="B74" s="6">
        <v>1091</v>
      </c>
      <c r="C74" s="11">
        <v>44929</v>
      </c>
      <c r="D74" s="11">
        <v>44932</v>
      </c>
      <c r="E74" s="6" t="s">
        <v>85</v>
      </c>
      <c r="F74" s="6" t="s">
        <v>79</v>
      </c>
      <c r="G74" s="6" t="s">
        <v>93</v>
      </c>
      <c r="H74" s="6" t="s">
        <v>98</v>
      </c>
      <c r="I74" s="6" t="s">
        <v>94</v>
      </c>
      <c r="J74" s="6" t="s">
        <v>102</v>
      </c>
      <c r="K74" s="6" t="s">
        <v>96</v>
      </c>
      <c r="L74" s="6">
        <v>5</v>
      </c>
      <c r="M74" s="6">
        <v>1220.68</v>
      </c>
      <c r="N74" s="13">
        <f t="shared" si="5"/>
        <v>6103.4000000000005</v>
      </c>
      <c r="O74" s="6">
        <v>20</v>
      </c>
      <c r="P74" s="6">
        <f t="shared" si="6"/>
        <v>1220.68</v>
      </c>
      <c r="Q74" s="6">
        <f t="shared" si="7"/>
        <v>4882.72</v>
      </c>
      <c r="R74" s="6" t="str">
        <f t="shared" si="8"/>
        <v>High Sale</v>
      </c>
      <c r="S74" s="6" t="str" cm="1">
        <f t="array" ref="S74">_xlfn.IFS(L74&gt;5,"High",L74=5,"Medium",L74&lt;5,"Low")</f>
        <v>Medium</v>
      </c>
      <c r="T74" s="6" t="str">
        <f t="shared" si="9"/>
        <v>Medium</v>
      </c>
    </row>
    <row r="75" spans="1:20" x14ac:dyDescent="0.25">
      <c r="A75" s="6">
        <v>10077</v>
      </c>
      <c r="B75" s="6">
        <v>1366</v>
      </c>
      <c r="C75" s="11">
        <v>45030</v>
      </c>
      <c r="D75" s="11">
        <v>45034</v>
      </c>
      <c r="E75" s="6" t="s">
        <v>85</v>
      </c>
      <c r="F75" s="6" t="s">
        <v>117</v>
      </c>
      <c r="G75" s="6" t="s">
        <v>93</v>
      </c>
      <c r="H75" s="6" t="s">
        <v>88</v>
      </c>
      <c r="I75" s="6" t="s">
        <v>94</v>
      </c>
      <c r="J75" s="6" t="s">
        <v>95</v>
      </c>
      <c r="K75" s="6" t="s">
        <v>108</v>
      </c>
      <c r="L75" s="6">
        <v>3</v>
      </c>
      <c r="M75" s="6">
        <v>985.28</v>
      </c>
      <c r="N75" s="13">
        <f t="shared" si="5"/>
        <v>2955.84</v>
      </c>
      <c r="O75" s="6">
        <v>10</v>
      </c>
      <c r="P75" s="6">
        <f t="shared" si="6"/>
        <v>295.584</v>
      </c>
      <c r="Q75" s="6">
        <f t="shared" si="7"/>
        <v>2660.2560000000003</v>
      </c>
      <c r="R75" s="6" t="str">
        <f t="shared" si="8"/>
        <v>Low Sale</v>
      </c>
      <c r="S75" s="6" t="str" cm="1">
        <f t="array" ref="S75">_xlfn.IFS(L75&gt;5,"High",L75=5,"Medium",L75&lt;5,"Low")</f>
        <v>Low</v>
      </c>
      <c r="T75" s="6" t="str">
        <f t="shared" si="9"/>
        <v>Low</v>
      </c>
    </row>
    <row r="76" spans="1:20" x14ac:dyDescent="0.25">
      <c r="A76" s="6">
        <v>10079</v>
      </c>
      <c r="B76" s="6">
        <v>1454</v>
      </c>
      <c r="C76" s="11">
        <v>45246</v>
      </c>
      <c r="D76" s="11">
        <v>45254</v>
      </c>
      <c r="E76" s="6" t="s">
        <v>97</v>
      </c>
      <c r="F76" s="6" t="s">
        <v>79</v>
      </c>
      <c r="G76" s="6" t="s">
        <v>93</v>
      </c>
      <c r="H76" s="6" t="s">
        <v>98</v>
      </c>
      <c r="I76" s="6" t="s">
        <v>94</v>
      </c>
      <c r="J76" s="6" t="s">
        <v>95</v>
      </c>
      <c r="K76" s="6" t="s">
        <v>96</v>
      </c>
      <c r="L76" s="6">
        <v>5</v>
      </c>
      <c r="M76" s="6">
        <v>2291.86</v>
      </c>
      <c r="N76" s="13">
        <f t="shared" si="5"/>
        <v>11459.300000000001</v>
      </c>
      <c r="O76" s="6">
        <v>15</v>
      </c>
      <c r="P76" s="6">
        <f t="shared" si="6"/>
        <v>1718.8950000000002</v>
      </c>
      <c r="Q76" s="6">
        <f t="shared" si="7"/>
        <v>9740.4050000000007</v>
      </c>
      <c r="R76" s="6" t="str">
        <f t="shared" si="8"/>
        <v>High Sale</v>
      </c>
      <c r="S76" s="6" t="str" cm="1">
        <f t="array" ref="S76">_xlfn.IFS(L76&gt;5,"High",L76=5,"Medium",L76&lt;5,"Low")</f>
        <v>Medium</v>
      </c>
      <c r="T76" s="6" t="str">
        <f t="shared" si="9"/>
        <v>Medium</v>
      </c>
    </row>
    <row r="77" spans="1:20" x14ac:dyDescent="0.25">
      <c r="A77" s="6">
        <v>10080</v>
      </c>
      <c r="B77" s="6">
        <v>1427</v>
      </c>
      <c r="C77" s="11">
        <v>45288</v>
      </c>
      <c r="D77" s="11">
        <v>45293</v>
      </c>
      <c r="E77" s="6" t="s">
        <v>78</v>
      </c>
      <c r="F77" s="6" t="s">
        <v>117</v>
      </c>
      <c r="G77" s="6" t="s">
        <v>80</v>
      </c>
      <c r="H77" s="6" t="s">
        <v>88</v>
      </c>
      <c r="I77" s="6" t="s">
        <v>115</v>
      </c>
      <c r="J77" s="6" t="s">
        <v>119</v>
      </c>
      <c r="K77" s="6" t="s">
        <v>91</v>
      </c>
      <c r="L77" s="6">
        <v>3</v>
      </c>
      <c r="M77" s="6">
        <v>262.25</v>
      </c>
      <c r="N77" s="13">
        <f t="shared" si="5"/>
        <v>786.75</v>
      </c>
      <c r="O77" s="6">
        <v>10</v>
      </c>
      <c r="P77" s="6">
        <f t="shared" si="6"/>
        <v>78.675000000000011</v>
      </c>
      <c r="Q77" s="6">
        <f t="shared" si="7"/>
        <v>708.07500000000005</v>
      </c>
      <c r="R77" s="6" t="str">
        <f t="shared" si="8"/>
        <v>Low Sale</v>
      </c>
      <c r="S77" s="6" t="str" cm="1">
        <f t="array" ref="S77">_xlfn.IFS(L77&gt;5,"High",L77=5,"Medium",L77&lt;5,"Low")</f>
        <v>Low</v>
      </c>
      <c r="T77" s="6" t="str">
        <f t="shared" si="9"/>
        <v>Low</v>
      </c>
    </row>
    <row r="78" spans="1:20" x14ac:dyDescent="0.25">
      <c r="A78" s="6">
        <v>10081</v>
      </c>
      <c r="B78" s="6">
        <v>1508</v>
      </c>
      <c r="C78" s="11">
        <v>45280</v>
      </c>
      <c r="D78" s="11">
        <v>45283</v>
      </c>
      <c r="E78" s="6" t="s">
        <v>109</v>
      </c>
      <c r="F78" s="6" t="s">
        <v>79</v>
      </c>
      <c r="G78" s="6" t="s">
        <v>93</v>
      </c>
      <c r="H78" s="6" t="s">
        <v>81</v>
      </c>
      <c r="I78" s="6" t="s">
        <v>89</v>
      </c>
      <c r="J78" s="6" t="s">
        <v>90</v>
      </c>
      <c r="K78" s="6" t="s">
        <v>110</v>
      </c>
      <c r="L78" s="6">
        <v>6</v>
      </c>
      <c r="M78" s="6">
        <v>3642.91</v>
      </c>
      <c r="N78" s="13">
        <f t="shared" si="5"/>
        <v>21857.46</v>
      </c>
      <c r="O78" s="6">
        <v>0</v>
      </c>
      <c r="P78" s="6">
        <f t="shared" si="6"/>
        <v>0</v>
      </c>
      <c r="Q78" s="6">
        <f t="shared" si="7"/>
        <v>21857.46</v>
      </c>
      <c r="R78" s="6" t="str">
        <f t="shared" si="8"/>
        <v>High Sale</v>
      </c>
      <c r="S78" s="6" t="str" cm="1">
        <f t="array" ref="S78">_xlfn.IFS(L78&gt;5,"High",L78=5,"Medium",L78&lt;5,"Low")</f>
        <v>High</v>
      </c>
      <c r="T78" s="6" t="str">
        <f t="shared" si="9"/>
        <v>High</v>
      </c>
    </row>
    <row r="79" spans="1:20" x14ac:dyDescent="0.25">
      <c r="A79" s="6">
        <v>10082</v>
      </c>
      <c r="B79" s="6">
        <v>1775</v>
      </c>
      <c r="C79" s="11">
        <v>44936</v>
      </c>
      <c r="D79" s="11">
        <v>44942</v>
      </c>
      <c r="E79" s="6" t="s">
        <v>109</v>
      </c>
      <c r="F79" s="6" t="s">
        <v>101</v>
      </c>
      <c r="G79" s="6" t="s">
        <v>87</v>
      </c>
      <c r="H79" s="6" t="s">
        <v>105</v>
      </c>
      <c r="I79" s="6" t="s">
        <v>112</v>
      </c>
      <c r="J79" s="6" t="s">
        <v>126</v>
      </c>
      <c r="K79" s="6" t="s">
        <v>110</v>
      </c>
      <c r="L79" s="6">
        <v>6</v>
      </c>
      <c r="M79" s="6">
        <v>751.69</v>
      </c>
      <c r="N79" s="13">
        <f t="shared" si="5"/>
        <v>4510.1400000000003</v>
      </c>
      <c r="O79" s="6">
        <v>0</v>
      </c>
      <c r="P79" s="6">
        <f t="shared" si="6"/>
        <v>0</v>
      </c>
      <c r="Q79" s="6">
        <f t="shared" si="7"/>
        <v>4510.1400000000003</v>
      </c>
      <c r="R79" s="6" t="str">
        <f t="shared" si="8"/>
        <v>High Sale</v>
      </c>
      <c r="S79" s="6" t="str" cm="1">
        <f t="array" ref="S79">_xlfn.IFS(L79&gt;5,"High",L79=5,"Medium",L79&lt;5,"Low")</f>
        <v>High</v>
      </c>
      <c r="T79" s="6" t="str">
        <f t="shared" si="9"/>
        <v>High</v>
      </c>
    </row>
    <row r="80" spans="1:20" x14ac:dyDescent="0.25">
      <c r="A80" s="6">
        <v>10083</v>
      </c>
      <c r="B80" s="6">
        <v>1942</v>
      </c>
      <c r="C80" s="11">
        <v>45228</v>
      </c>
      <c r="D80" s="11">
        <v>45232</v>
      </c>
      <c r="E80" s="6" t="s">
        <v>100</v>
      </c>
      <c r="F80" s="6" t="s">
        <v>86</v>
      </c>
      <c r="G80" s="6" t="s">
        <v>80</v>
      </c>
      <c r="H80" s="6" t="s">
        <v>88</v>
      </c>
      <c r="I80" s="6" t="s">
        <v>120</v>
      </c>
      <c r="J80" s="6" t="s">
        <v>125</v>
      </c>
      <c r="K80" s="6" t="s">
        <v>84</v>
      </c>
      <c r="L80" s="6">
        <v>8</v>
      </c>
      <c r="M80" s="6">
        <v>997.34</v>
      </c>
      <c r="N80" s="13">
        <f t="shared" si="5"/>
        <v>7978.72</v>
      </c>
      <c r="O80" s="6">
        <v>5</v>
      </c>
      <c r="P80" s="6">
        <f t="shared" si="6"/>
        <v>398.93600000000004</v>
      </c>
      <c r="Q80" s="6">
        <f t="shared" si="7"/>
        <v>7579.7840000000006</v>
      </c>
      <c r="R80" s="6" t="str">
        <f t="shared" si="8"/>
        <v>High Sale</v>
      </c>
      <c r="S80" s="6" t="str" cm="1">
        <f t="array" ref="S80">_xlfn.IFS(L80&gt;5,"High",L80=5,"Medium",L80&lt;5,"Low")</f>
        <v>High</v>
      </c>
      <c r="T80" s="6" t="str">
        <f t="shared" si="9"/>
        <v>High</v>
      </c>
    </row>
    <row r="81" spans="1:20" x14ac:dyDescent="0.25">
      <c r="A81" s="6">
        <v>10084</v>
      </c>
      <c r="B81" s="6">
        <v>1034</v>
      </c>
      <c r="C81" s="11">
        <v>45157</v>
      </c>
      <c r="D81" s="11">
        <v>45166</v>
      </c>
      <c r="E81" s="6" t="s">
        <v>103</v>
      </c>
      <c r="F81" s="6" t="s">
        <v>92</v>
      </c>
      <c r="G81" s="6" t="s">
        <v>93</v>
      </c>
      <c r="H81" s="6" t="s">
        <v>107</v>
      </c>
      <c r="I81" s="6" t="s">
        <v>115</v>
      </c>
      <c r="J81" s="6" t="s">
        <v>119</v>
      </c>
      <c r="K81" s="6" t="s">
        <v>96</v>
      </c>
      <c r="L81" s="6">
        <v>2</v>
      </c>
      <c r="M81" s="6">
        <v>2145.36</v>
      </c>
      <c r="N81" s="13">
        <f t="shared" si="5"/>
        <v>4290.72</v>
      </c>
      <c r="O81" s="6">
        <v>20</v>
      </c>
      <c r="P81" s="6">
        <f t="shared" si="6"/>
        <v>858.14400000000012</v>
      </c>
      <c r="Q81" s="6">
        <f t="shared" si="7"/>
        <v>3432.576</v>
      </c>
      <c r="R81" s="6" t="str">
        <f t="shared" si="8"/>
        <v>Low Sale</v>
      </c>
      <c r="S81" s="6" t="str" cm="1">
        <f t="array" ref="S81">_xlfn.IFS(L81&gt;5,"High",L81=5,"Medium",L81&lt;5,"Low")</f>
        <v>Low</v>
      </c>
      <c r="T81" s="6" t="str">
        <f t="shared" si="9"/>
        <v>Low</v>
      </c>
    </row>
    <row r="82" spans="1:20" x14ac:dyDescent="0.25">
      <c r="A82" s="6">
        <v>10085</v>
      </c>
      <c r="B82" s="6">
        <v>1205</v>
      </c>
      <c r="C82" s="11">
        <v>45145</v>
      </c>
      <c r="D82" s="11">
        <v>45148</v>
      </c>
      <c r="E82" s="6" t="s">
        <v>109</v>
      </c>
      <c r="F82" s="6" t="s">
        <v>79</v>
      </c>
      <c r="G82" s="6" t="s">
        <v>93</v>
      </c>
      <c r="H82" s="6" t="s">
        <v>81</v>
      </c>
      <c r="I82" s="6" t="s">
        <v>112</v>
      </c>
      <c r="J82" s="6" t="s">
        <v>113</v>
      </c>
      <c r="K82" s="6" t="s">
        <v>91</v>
      </c>
      <c r="L82" s="6">
        <v>1</v>
      </c>
      <c r="M82" s="6">
        <v>2883.94</v>
      </c>
      <c r="N82" s="13">
        <f t="shared" si="5"/>
        <v>2883.94</v>
      </c>
      <c r="O82" s="6">
        <v>20</v>
      </c>
      <c r="P82" s="6">
        <f t="shared" si="6"/>
        <v>576.78800000000001</v>
      </c>
      <c r="Q82" s="6">
        <f t="shared" si="7"/>
        <v>2307.152</v>
      </c>
      <c r="R82" s="6" t="str">
        <f t="shared" si="8"/>
        <v>Low Sale</v>
      </c>
      <c r="S82" s="6" t="str" cm="1">
        <f t="array" ref="S82">_xlfn.IFS(L82&gt;5,"High",L82=5,"Medium",L82&lt;5,"Low")</f>
        <v>Low</v>
      </c>
      <c r="T82" s="6" t="str">
        <f t="shared" si="9"/>
        <v>Low</v>
      </c>
    </row>
    <row r="83" spans="1:20" x14ac:dyDescent="0.25">
      <c r="A83" s="6">
        <v>10086</v>
      </c>
      <c r="B83" s="6">
        <v>1080</v>
      </c>
      <c r="C83" s="11">
        <v>44992</v>
      </c>
      <c r="D83" s="11">
        <v>44996</v>
      </c>
      <c r="E83" s="6" t="s">
        <v>97</v>
      </c>
      <c r="F83" s="6" t="s">
        <v>101</v>
      </c>
      <c r="G83" s="6" t="s">
        <v>93</v>
      </c>
      <c r="H83" s="6" t="s">
        <v>107</v>
      </c>
      <c r="I83" s="6" t="s">
        <v>94</v>
      </c>
      <c r="J83" s="6" t="s">
        <v>128</v>
      </c>
      <c r="K83" s="6" t="s">
        <v>108</v>
      </c>
      <c r="L83" s="6">
        <v>4</v>
      </c>
      <c r="M83" s="6">
        <v>518.55999999999995</v>
      </c>
      <c r="N83" s="13">
        <f t="shared" si="5"/>
        <v>2074.2399999999998</v>
      </c>
      <c r="O83" s="6">
        <v>20</v>
      </c>
      <c r="P83" s="6">
        <f t="shared" si="6"/>
        <v>414.84799999999996</v>
      </c>
      <c r="Q83" s="6">
        <f t="shared" si="7"/>
        <v>1659.3919999999998</v>
      </c>
      <c r="R83" s="6" t="str">
        <f t="shared" si="8"/>
        <v>Low Sale</v>
      </c>
      <c r="S83" s="6" t="str" cm="1">
        <f t="array" ref="S83">_xlfn.IFS(L83&gt;5,"High",L83=5,"Medium",L83&lt;5,"Low")</f>
        <v>Low</v>
      </c>
      <c r="T83" s="6" t="str">
        <f t="shared" si="9"/>
        <v>Low</v>
      </c>
    </row>
    <row r="84" spans="1:20" x14ac:dyDescent="0.25">
      <c r="A84" s="6">
        <v>10087</v>
      </c>
      <c r="B84" s="6">
        <v>1931</v>
      </c>
      <c r="C84" s="11">
        <v>45038</v>
      </c>
      <c r="D84" s="11">
        <v>45045</v>
      </c>
      <c r="E84" s="6" t="s">
        <v>103</v>
      </c>
      <c r="F84" s="6" t="s">
        <v>92</v>
      </c>
      <c r="G84" s="6" t="s">
        <v>80</v>
      </c>
      <c r="H84" s="6" t="s">
        <v>81</v>
      </c>
      <c r="I84" s="6" t="s">
        <v>94</v>
      </c>
      <c r="J84" s="6" t="s">
        <v>102</v>
      </c>
      <c r="K84" s="6" t="s">
        <v>110</v>
      </c>
      <c r="L84" s="6">
        <v>7</v>
      </c>
      <c r="M84" s="6">
        <v>1373.12</v>
      </c>
      <c r="N84" s="13">
        <f t="shared" si="5"/>
        <v>9611.84</v>
      </c>
      <c r="O84" s="6">
        <v>5</v>
      </c>
      <c r="P84" s="6">
        <f t="shared" si="6"/>
        <v>480.59200000000004</v>
      </c>
      <c r="Q84" s="6">
        <f t="shared" si="7"/>
        <v>9131.2479999999996</v>
      </c>
      <c r="R84" s="6" t="str">
        <f t="shared" si="8"/>
        <v>High Sale</v>
      </c>
      <c r="S84" s="6" t="str" cm="1">
        <f t="array" ref="S84">_xlfn.IFS(L84&gt;5,"High",L84=5,"Medium",L84&lt;5,"Low")</f>
        <v>High</v>
      </c>
      <c r="T84" s="6" t="str">
        <f t="shared" si="9"/>
        <v>High</v>
      </c>
    </row>
    <row r="85" spans="1:20" x14ac:dyDescent="0.25">
      <c r="A85" s="6">
        <v>10088</v>
      </c>
      <c r="B85" s="6">
        <v>1561</v>
      </c>
      <c r="C85" s="11">
        <v>44939</v>
      </c>
      <c r="D85" s="11">
        <v>44946</v>
      </c>
      <c r="E85" s="6" t="s">
        <v>97</v>
      </c>
      <c r="F85" s="6" t="s">
        <v>92</v>
      </c>
      <c r="G85" s="6" t="s">
        <v>80</v>
      </c>
      <c r="H85" s="6" t="s">
        <v>105</v>
      </c>
      <c r="I85" s="6" t="s">
        <v>112</v>
      </c>
      <c r="J85" s="6" t="s">
        <v>126</v>
      </c>
      <c r="K85" s="6" t="s">
        <v>110</v>
      </c>
      <c r="L85" s="6">
        <v>3</v>
      </c>
      <c r="M85" s="6">
        <v>3879.4</v>
      </c>
      <c r="N85" s="13">
        <f t="shared" si="5"/>
        <v>11638.2</v>
      </c>
      <c r="O85" s="6">
        <v>20</v>
      </c>
      <c r="P85" s="6">
        <f t="shared" si="6"/>
        <v>2327.6400000000003</v>
      </c>
      <c r="Q85" s="6">
        <f t="shared" si="7"/>
        <v>9310.5600000000013</v>
      </c>
      <c r="R85" s="6" t="str">
        <f t="shared" si="8"/>
        <v>Low Sale</v>
      </c>
      <c r="S85" s="6" t="str" cm="1">
        <f t="array" ref="S85">_xlfn.IFS(L85&gt;5,"High",L85=5,"Medium",L85&lt;5,"Low")</f>
        <v>Low</v>
      </c>
      <c r="T85" s="6" t="str">
        <f t="shared" si="9"/>
        <v>Low</v>
      </c>
    </row>
    <row r="86" spans="1:20" x14ac:dyDescent="0.25">
      <c r="A86" s="6">
        <v>10091</v>
      </c>
      <c r="B86" s="6">
        <v>1001</v>
      </c>
      <c r="C86" s="11">
        <v>45016</v>
      </c>
      <c r="D86" s="11">
        <v>45019</v>
      </c>
      <c r="E86" s="6" t="s">
        <v>100</v>
      </c>
      <c r="F86" s="6" t="s">
        <v>79</v>
      </c>
      <c r="G86" s="6" t="s">
        <v>80</v>
      </c>
      <c r="H86" s="6" t="s">
        <v>107</v>
      </c>
      <c r="I86" s="6" t="s">
        <v>89</v>
      </c>
      <c r="J86" s="6" t="s">
        <v>90</v>
      </c>
      <c r="K86" s="6" t="s">
        <v>91</v>
      </c>
      <c r="L86" s="6">
        <v>5</v>
      </c>
      <c r="M86" s="6">
        <v>3370.52</v>
      </c>
      <c r="N86" s="13">
        <f t="shared" si="5"/>
        <v>16852.599999999999</v>
      </c>
      <c r="O86" s="6">
        <v>10</v>
      </c>
      <c r="P86" s="6">
        <f t="shared" si="6"/>
        <v>1685.26</v>
      </c>
      <c r="Q86" s="6">
        <f t="shared" si="7"/>
        <v>15167.339999999998</v>
      </c>
      <c r="R86" s="6" t="str">
        <f t="shared" si="8"/>
        <v>High Sale</v>
      </c>
      <c r="S86" s="6" t="str" cm="1">
        <f t="array" ref="S86">_xlfn.IFS(L86&gt;5,"High",L86=5,"Medium",L86&lt;5,"Low")</f>
        <v>Medium</v>
      </c>
      <c r="T86" s="6" t="str">
        <f t="shared" si="9"/>
        <v>Medium</v>
      </c>
    </row>
    <row r="87" spans="1:20" x14ac:dyDescent="0.25">
      <c r="A87" s="6">
        <v>10092</v>
      </c>
      <c r="B87" s="6">
        <v>1389</v>
      </c>
      <c r="C87" s="11">
        <v>45240</v>
      </c>
      <c r="D87" s="11">
        <v>45246</v>
      </c>
      <c r="E87" s="6" t="s">
        <v>109</v>
      </c>
      <c r="F87" s="6" t="s">
        <v>101</v>
      </c>
      <c r="G87" s="6" t="s">
        <v>93</v>
      </c>
      <c r="H87" s="6" t="s">
        <v>81</v>
      </c>
      <c r="I87" s="6" t="s">
        <v>112</v>
      </c>
      <c r="J87" s="6" t="s">
        <v>113</v>
      </c>
      <c r="K87" s="6" t="s">
        <v>96</v>
      </c>
      <c r="L87" s="6">
        <v>3</v>
      </c>
      <c r="M87" s="6">
        <v>343.33</v>
      </c>
      <c r="N87" s="13">
        <f t="shared" si="5"/>
        <v>1029.99</v>
      </c>
      <c r="O87" s="6">
        <v>5</v>
      </c>
      <c r="P87" s="6">
        <f t="shared" si="6"/>
        <v>51.499500000000005</v>
      </c>
      <c r="Q87" s="6">
        <f t="shared" si="7"/>
        <v>978.4905</v>
      </c>
      <c r="R87" s="6" t="str">
        <f t="shared" si="8"/>
        <v>Low Sale</v>
      </c>
      <c r="S87" s="6" t="str" cm="1">
        <f t="array" ref="S87">_xlfn.IFS(L87&gt;5,"High",L87=5,"Medium",L87&lt;5,"Low")</f>
        <v>Low</v>
      </c>
      <c r="T87" s="6" t="str">
        <f t="shared" si="9"/>
        <v>Low</v>
      </c>
    </row>
    <row r="88" spans="1:20" x14ac:dyDescent="0.25">
      <c r="A88" s="6">
        <v>10093</v>
      </c>
      <c r="B88" s="6">
        <v>1565</v>
      </c>
      <c r="C88" s="11">
        <v>44980</v>
      </c>
      <c r="D88" s="11">
        <v>44982</v>
      </c>
      <c r="E88" s="6" t="s">
        <v>103</v>
      </c>
      <c r="F88" s="6" t="s">
        <v>92</v>
      </c>
      <c r="G88" s="6" t="s">
        <v>80</v>
      </c>
      <c r="H88" s="6" t="s">
        <v>105</v>
      </c>
      <c r="I88" s="6" t="s">
        <v>115</v>
      </c>
      <c r="J88" s="6" t="s">
        <v>119</v>
      </c>
      <c r="K88" s="6" t="s">
        <v>96</v>
      </c>
      <c r="L88" s="6">
        <v>9</v>
      </c>
      <c r="M88" s="6">
        <v>1938.76</v>
      </c>
      <c r="N88" s="13">
        <f t="shared" si="5"/>
        <v>17448.84</v>
      </c>
      <c r="O88" s="6">
        <v>20</v>
      </c>
      <c r="P88" s="6">
        <f t="shared" si="6"/>
        <v>3489.768</v>
      </c>
      <c r="Q88" s="6">
        <f t="shared" si="7"/>
        <v>13959.072</v>
      </c>
      <c r="R88" s="6" t="str">
        <f t="shared" si="8"/>
        <v>High Sale</v>
      </c>
      <c r="S88" s="6" t="str" cm="1">
        <f t="array" ref="S88">_xlfn.IFS(L88&gt;5,"High",L88=5,"Medium",L88&lt;5,"Low")</f>
        <v>High</v>
      </c>
      <c r="T88" s="6" t="str">
        <f t="shared" si="9"/>
        <v>High</v>
      </c>
    </row>
    <row r="89" spans="1:20" x14ac:dyDescent="0.25">
      <c r="A89" s="6">
        <v>10094</v>
      </c>
      <c r="B89" s="6">
        <v>1105</v>
      </c>
      <c r="C89" s="11">
        <v>44938</v>
      </c>
      <c r="D89" s="11">
        <v>44946</v>
      </c>
      <c r="E89" s="6" t="s">
        <v>85</v>
      </c>
      <c r="F89" s="6" t="s">
        <v>79</v>
      </c>
      <c r="G89" s="6" t="s">
        <v>93</v>
      </c>
      <c r="H89" s="6" t="s">
        <v>88</v>
      </c>
      <c r="I89" s="6" t="s">
        <v>115</v>
      </c>
      <c r="J89" s="6" t="s">
        <v>123</v>
      </c>
      <c r="K89" s="6" t="s">
        <v>84</v>
      </c>
      <c r="L89" s="6">
        <v>4</v>
      </c>
      <c r="M89" s="6">
        <v>1611.52</v>
      </c>
      <c r="N89" s="13">
        <f t="shared" si="5"/>
        <v>6446.08</v>
      </c>
      <c r="O89" s="6">
        <v>10</v>
      </c>
      <c r="P89" s="6">
        <f t="shared" si="6"/>
        <v>644.60800000000006</v>
      </c>
      <c r="Q89" s="6">
        <f t="shared" si="7"/>
        <v>5801.4719999999998</v>
      </c>
      <c r="R89" s="6" t="str">
        <f t="shared" si="8"/>
        <v>Low Sale</v>
      </c>
      <c r="S89" s="6" t="str" cm="1">
        <f t="array" ref="S89">_xlfn.IFS(L89&gt;5,"High",L89=5,"Medium",L89&lt;5,"Low")</f>
        <v>Low</v>
      </c>
      <c r="T89" s="6" t="str">
        <f t="shared" si="9"/>
        <v>Low</v>
      </c>
    </row>
    <row r="90" spans="1:20" x14ac:dyDescent="0.25">
      <c r="A90" s="6">
        <v>10095</v>
      </c>
      <c r="B90" s="6">
        <v>1771</v>
      </c>
      <c r="C90" s="11">
        <v>45135</v>
      </c>
      <c r="D90" s="11">
        <v>45137</v>
      </c>
      <c r="E90" s="6" t="s">
        <v>103</v>
      </c>
      <c r="F90" s="6" t="s">
        <v>117</v>
      </c>
      <c r="G90" s="6" t="s">
        <v>93</v>
      </c>
      <c r="H90" s="6" t="s">
        <v>105</v>
      </c>
      <c r="I90" s="6" t="s">
        <v>112</v>
      </c>
      <c r="J90" s="6" t="s">
        <v>113</v>
      </c>
      <c r="K90" s="6" t="s">
        <v>110</v>
      </c>
      <c r="L90" s="6">
        <v>3</v>
      </c>
      <c r="M90" s="6">
        <v>1368.86</v>
      </c>
      <c r="N90" s="13">
        <f t="shared" si="5"/>
        <v>4106.58</v>
      </c>
      <c r="O90" s="6">
        <v>10</v>
      </c>
      <c r="P90" s="6">
        <f t="shared" si="6"/>
        <v>410.65800000000002</v>
      </c>
      <c r="Q90" s="6">
        <f t="shared" si="7"/>
        <v>3695.922</v>
      </c>
      <c r="R90" s="6" t="str">
        <f t="shared" si="8"/>
        <v>Low Sale</v>
      </c>
      <c r="S90" s="6" t="str" cm="1">
        <f t="array" ref="S90">_xlfn.IFS(L90&gt;5,"High",L90=5,"Medium",L90&lt;5,"Low")</f>
        <v>Low</v>
      </c>
      <c r="T90" s="6" t="str">
        <f t="shared" si="9"/>
        <v>Low</v>
      </c>
    </row>
    <row r="91" spans="1:20" x14ac:dyDescent="0.25">
      <c r="A91" s="6">
        <v>10096</v>
      </c>
      <c r="B91" s="6">
        <v>1821</v>
      </c>
      <c r="C91" s="11">
        <v>44940</v>
      </c>
      <c r="D91" s="11">
        <v>44947</v>
      </c>
      <c r="E91" s="6" t="s">
        <v>103</v>
      </c>
      <c r="F91" s="6" t="s">
        <v>79</v>
      </c>
      <c r="G91" s="6" t="s">
        <v>80</v>
      </c>
      <c r="H91" s="6" t="s">
        <v>88</v>
      </c>
      <c r="I91" s="6" t="s">
        <v>115</v>
      </c>
      <c r="J91" s="6" t="s">
        <v>123</v>
      </c>
      <c r="K91" s="6" t="s">
        <v>96</v>
      </c>
      <c r="L91" s="6">
        <v>2</v>
      </c>
      <c r="M91" s="6">
        <v>1249.94</v>
      </c>
      <c r="N91" s="13">
        <f t="shared" si="5"/>
        <v>2499.88</v>
      </c>
      <c r="O91" s="6">
        <v>10</v>
      </c>
      <c r="P91" s="6">
        <f t="shared" si="6"/>
        <v>249.98800000000003</v>
      </c>
      <c r="Q91" s="6">
        <f t="shared" si="7"/>
        <v>2249.8920000000003</v>
      </c>
      <c r="R91" s="6" t="str">
        <f t="shared" si="8"/>
        <v>Low Sale</v>
      </c>
      <c r="S91" s="6" t="str" cm="1">
        <f t="array" ref="S91">_xlfn.IFS(L91&gt;5,"High",L91=5,"Medium",L91&lt;5,"Low")</f>
        <v>Low</v>
      </c>
      <c r="T91" s="6" t="str">
        <f t="shared" si="9"/>
        <v>Low</v>
      </c>
    </row>
    <row r="92" spans="1:20" x14ac:dyDescent="0.25">
      <c r="A92" s="6">
        <v>10097</v>
      </c>
      <c r="B92" s="6">
        <v>1476</v>
      </c>
      <c r="C92" s="11">
        <v>45047</v>
      </c>
      <c r="D92" s="11">
        <v>45056</v>
      </c>
      <c r="E92" s="6" t="s">
        <v>100</v>
      </c>
      <c r="F92" s="6" t="s">
        <v>86</v>
      </c>
      <c r="G92" s="6" t="s">
        <v>87</v>
      </c>
      <c r="H92" s="6" t="s">
        <v>81</v>
      </c>
      <c r="I92" s="6" t="s">
        <v>115</v>
      </c>
      <c r="J92" s="6" t="s">
        <v>123</v>
      </c>
      <c r="K92" s="6" t="s">
        <v>91</v>
      </c>
      <c r="L92" s="6">
        <v>9</v>
      </c>
      <c r="M92" s="6">
        <v>501.79</v>
      </c>
      <c r="N92" s="13">
        <f t="shared" si="5"/>
        <v>4516.1100000000006</v>
      </c>
      <c r="O92" s="6">
        <v>5</v>
      </c>
      <c r="P92" s="6">
        <f t="shared" si="6"/>
        <v>225.80550000000005</v>
      </c>
      <c r="Q92" s="6">
        <f t="shared" si="7"/>
        <v>4290.3045000000002</v>
      </c>
      <c r="R92" s="6" t="str">
        <f t="shared" si="8"/>
        <v>High Sale</v>
      </c>
      <c r="S92" s="6" t="str" cm="1">
        <f t="array" ref="S92">_xlfn.IFS(L92&gt;5,"High",L92=5,"Medium",L92&lt;5,"Low")</f>
        <v>High</v>
      </c>
      <c r="T92" s="6" t="str">
        <f t="shared" si="9"/>
        <v>High</v>
      </c>
    </row>
    <row r="93" spans="1:20" x14ac:dyDescent="0.25">
      <c r="A93" s="6">
        <v>10098</v>
      </c>
      <c r="B93" s="6">
        <v>1702</v>
      </c>
      <c r="C93" s="11">
        <v>44946</v>
      </c>
      <c r="D93" s="11">
        <v>44947</v>
      </c>
      <c r="E93" s="6" t="s">
        <v>100</v>
      </c>
      <c r="F93" s="6" t="s">
        <v>117</v>
      </c>
      <c r="G93" s="6" t="s">
        <v>87</v>
      </c>
      <c r="H93" s="6" t="s">
        <v>105</v>
      </c>
      <c r="I93" s="6" t="s">
        <v>89</v>
      </c>
      <c r="J93" s="6" t="s">
        <v>99</v>
      </c>
      <c r="K93" s="6" t="s">
        <v>108</v>
      </c>
      <c r="L93" s="6">
        <v>4</v>
      </c>
      <c r="M93" s="6">
        <v>1362.08</v>
      </c>
      <c r="N93" s="13">
        <f t="shared" si="5"/>
        <v>5448.32</v>
      </c>
      <c r="O93" s="6">
        <v>15</v>
      </c>
      <c r="P93" s="6">
        <f t="shared" si="6"/>
        <v>817.24799999999993</v>
      </c>
      <c r="Q93" s="6">
        <f t="shared" si="7"/>
        <v>4631.0720000000001</v>
      </c>
      <c r="R93" s="6" t="str">
        <f t="shared" si="8"/>
        <v>Low Sale</v>
      </c>
      <c r="S93" s="6" t="str" cm="1">
        <f t="array" ref="S93">_xlfn.IFS(L93&gt;5,"High",L93=5,"Medium",L93&lt;5,"Low")</f>
        <v>Low</v>
      </c>
      <c r="T93" s="6" t="str">
        <f t="shared" si="9"/>
        <v>Low</v>
      </c>
    </row>
    <row r="94" spans="1:20" x14ac:dyDescent="0.25">
      <c r="A94" s="6">
        <v>10099</v>
      </c>
      <c r="B94" s="6">
        <v>1401</v>
      </c>
      <c r="C94" s="11">
        <v>45001</v>
      </c>
      <c r="D94" s="11">
        <v>45009</v>
      </c>
      <c r="E94" s="6" t="s">
        <v>109</v>
      </c>
      <c r="F94" s="6" t="s">
        <v>101</v>
      </c>
      <c r="G94" s="6" t="s">
        <v>80</v>
      </c>
      <c r="H94" s="6" t="s">
        <v>105</v>
      </c>
      <c r="I94" s="6" t="s">
        <v>115</v>
      </c>
      <c r="J94" s="6" t="s">
        <v>116</v>
      </c>
      <c r="K94" s="6" t="s">
        <v>91</v>
      </c>
      <c r="L94" s="6">
        <v>3</v>
      </c>
      <c r="M94" s="6">
        <v>315.75</v>
      </c>
      <c r="N94" s="13">
        <f t="shared" si="5"/>
        <v>947.25</v>
      </c>
      <c r="O94" s="6">
        <v>20</v>
      </c>
      <c r="P94" s="6">
        <f t="shared" si="6"/>
        <v>189.45000000000002</v>
      </c>
      <c r="Q94" s="6">
        <f t="shared" si="7"/>
        <v>757.8</v>
      </c>
      <c r="R94" s="6" t="str">
        <f t="shared" si="8"/>
        <v>Low Sale</v>
      </c>
      <c r="S94" s="6" t="str" cm="1">
        <f t="array" ref="S94">_xlfn.IFS(L94&gt;5,"High",L94=5,"Medium",L94&lt;5,"Low")</f>
        <v>Low</v>
      </c>
      <c r="T94" s="6" t="str">
        <f t="shared" si="9"/>
        <v>Low</v>
      </c>
    </row>
    <row r="95" spans="1:20" x14ac:dyDescent="0.25">
      <c r="A95" s="6">
        <v>10100</v>
      </c>
      <c r="B95" s="6">
        <v>1729</v>
      </c>
      <c r="C95" s="11">
        <v>45169</v>
      </c>
      <c r="D95" s="11">
        <v>45176</v>
      </c>
      <c r="E95" s="6" t="s">
        <v>79</v>
      </c>
      <c r="F95" s="6" t="s">
        <v>92</v>
      </c>
      <c r="G95" s="6" t="s">
        <v>87</v>
      </c>
      <c r="H95" s="6" t="s">
        <v>81</v>
      </c>
      <c r="I95" s="6" t="s">
        <v>82</v>
      </c>
      <c r="J95" s="6" t="s">
        <v>106</v>
      </c>
      <c r="K95" s="6" t="s">
        <v>110</v>
      </c>
      <c r="L95" s="6">
        <v>7</v>
      </c>
      <c r="M95" s="6">
        <v>3156.71</v>
      </c>
      <c r="N95" s="13">
        <f t="shared" si="5"/>
        <v>22096.97</v>
      </c>
      <c r="O95" s="6">
        <v>10</v>
      </c>
      <c r="P95" s="6">
        <f t="shared" si="6"/>
        <v>2209.6970000000001</v>
      </c>
      <c r="Q95" s="6">
        <f t="shared" si="7"/>
        <v>19887.273000000001</v>
      </c>
      <c r="R95" s="6" t="str">
        <f t="shared" si="8"/>
        <v>High Sale</v>
      </c>
      <c r="S95" s="6" t="str" cm="1">
        <f t="array" ref="S95">_xlfn.IFS(L95&gt;5,"High",L95=5,"Medium",L95&lt;5,"Low")</f>
        <v>High</v>
      </c>
      <c r="T95" s="6" t="str">
        <f t="shared" si="9"/>
        <v>High</v>
      </c>
    </row>
    <row r="96" spans="1:20" x14ac:dyDescent="0.25">
      <c r="A96" s="6">
        <v>10101</v>
      </c>
      <c r="B96" s="6">
        <v>1555</v>
      </c>
      <c r="C96" s="11">
        <v>45149</v>
      </c>
      <c r="D96" s="11">
        <v>45155</v>
      </c>
      <c r="E96" s="6" t="s">
        <v>79</v>
      </c>
      <c r="F96" s="6" t="s">
        <v>79</v>
      </c>
      <c r="G96" s="6" t="s">
        <v>93</v>
      </c>
      <c r="H96" s="6" t="s">
        <v>105</v>
      </c>
      <c r="I96" s="6" t="s">
        <v>120</v>
      </c>
      <c r="J96" s="6" t="s">
        <v>122</v>
      </c>
      <c r="K96" s="6" t="s">
        <v>91</v>
      </c>
      <c r="L96" s="6">
        <v>8</v>
      </c>
      <c r="M96" s="6">
        <v>1683.18</v>
      </c>
      <c r="N96" s="13">
        <f t="shared" si="5"/>
        <v>13465.44</v>
      </c>
      <c r="O96" s="6">
        <v>15</v>
      </c>
      <c r="P96" s="6">
        <f t="shared" si="6"/>
        <v>2019.816</v>
      </c>
      <c r="Q96" s="6">
        <f t="shared" si="7"/>
        <v>11445.624</v>
      </c>
      <c r="R96" s="6" t="str">
        <f t="shared" si="8"/>
        <v>High Sale</v>
      </c>
      <c r="S96" s="6" t="str" cm="1">
        <f t="array" ref="S96">_xlfn.IFS(L96&gt;5,"High",L96=5,"Medium",L96&lt;5,"Low")</f>
        <v>High</v>
      </c>
      <c r="T96" s="6" t="str">
        <f t="shared" si="9"/>
        <v>High</v>
      </c>
    </row>
    <row r="97" spans="1:20" x14ac:dyDescent="0.25">
      <c r="A97" s="6">
        <v>10102</v>
      </c>
      <c r="B97" s="6">
        <v>1161</v>
      </c>
      <c r="C97" s="11">
        <v>44996</v>
      </c>
      <c r="D97" s="11">
        <v>45002</v>
      </c>
      <c r="E97" s="6" t="s">
        <v>100</v>
      </c>
      <c r="F97" s="6" t="s">
        <v>117</v>
      </c>
      <c r="G97" s="6" t="s">
        <v>93</v>
      </c>
      <c r="H97" s="6" t="s">
        <v>88</v>
      </c>
      <c r="I97" s="6" t="s">
        <v>94</v>
      </c>
      <c r="J97" s="6" t="s">
        <v>102</v>
      </c>
      <c r="K97" s="6" t="s">
        <v>84</v>
      </c>
      <c r="L97" s="6">
        <v>2</v>
      </c>
      <c r="M97" s="6">
        <v>1859.03</v>
      </c>
      <c r="N97" s="13">
        <f t="shared" si="5"/>
        <v>3718.06</v>
      </c>
      <c r="O97" s="6">
        <v>20</v>
      </c>
      <c r="P97" s="6">
        <f t="shared" si="6"/>
        <v>743.61200000000008</v>
      </c>
      <c r="Q97" s="6">
        <f t="shared" si="7"/>
        <v>2974.4479999999999</v>
      </c>
      <c r="R97" s="6" t="str">
        <f t="shared" si="8"/>
        <v>Low Sale</v>
      </c>
      <c r="S97" s="6" t="str" cm="1">
        <f t="array" ref="S97">_xlfn.IFS(L97&gt;5,"High",L97=5,"Medium",L97&lt;5,"Low")</f>
        <v>Low</v>
      </c>
      <c r="T97" s="6" t="str">
        <f t="shared" si="9"/>
        <v>Low</v>
      </c>
    </row>
    <row r="98" spans="1:20" x14ac:dyDescent="0.25">
      <c r="A98" s="6">
        <v>10103</v>
      </c>
      <c r="B98" s="6">
        <v>1201</v>
      </c>
      <c r="C98" s="11">
        <v>45238</v>
      </c>
      <c r="D98" s="11">
        <v>45244</v>
      </c>
      <c r="E98" s="6" t="s">
        <v>109</v>
      </c>
      <c r="F98" s="6" t="s">
        <v>86</v>
      </c>
      <c r="G98" s="6" t="s">
        <v>80</v>
      </c>
      <c r="H98" s="6" t="s">
        <v>105</v>
      </c>
      <c r="I98" s="6" t="s">
        <v>82</v>
      </c>
      <c r="J98" s="6" t="s">
        <v>83</v>
      </c>
      <c r="K98" s="6" t="s">
        <v>110</v>
      </c>
      <c r="L98" s="6">
        <v>7</v>
      </c>
      <c r="M98" s="6">
        <v>3590.34</v>
      </c>
      <c r="N98" s="13">
        <f t="shared" si="5"/>
        <v>25132.38</v>
      </c>
      <c r="O98" s="6">
        <v>20</v>
      </c>
      <c r="P98" s="6">
        <f t="shared" si="6"/>
        <v>5026.4760000000006</v>
      </c>
      <c r="Q98" s="6">
        <f t="shared" si="7"/>
        <v>20105.904000000002</v>
      </c>
      <c r="R98" s="6" t="str">
        <f t="shared" si="8"/>
        <v>High Sale</v>
      </c>
      <c r="S98" s="6" t="str" cm="1">
        <f t="array" ref="S98">_xlfn.IFS(L98&gt;5,"High",L98=5,"Medium",L98&lt;5,"Low")</f>
        <v>High</v>
      </c>
      <c r="T98" s="6" t="str">
        <f t="shared" si="9"/>
        <v>High</v>
      </c>
    </row>
    <row r="99" spans="1:20" x14ac:dyDescent="0.25">
      <c r="A99" s="6">
        <v>10105</v>
      </c>
      <c r="B99" s="6">
        <v>1995</v>
      </c>
      <c r="C99" s="11">
        <v>45027</v>
      </c>
      <c r="D99" s="11">
        <v>45029</v>
      </c>
      <c r="E99" s="6" t="s">
        <v>109</v>
      </c>
      <c r="F99" s="6" t="s">
        <v>104</v>
      </c>
      <c r="G99" s="6" t="s">
        <v>87</v>
      </c>
      <c r="H99" s="6" t="s">
        <v>98</v>
      </c>
      <c r="I99" s="6" t="s">
        <v>89</v>
      </c>
      <c r="J99" s="6" t="s">
        <v>90</v>
      </c>
      <c r="K99" s="6" t="s">
        <v>84</v>
      </c>
      <c r="L99" s="6">
        <v>5</v>
      </c>
      <c r="M99" s="6">
        <v>181.03</v>
      </c>
      <c r="N99" s="13">
        <f t="shared" si="5"/>
        <v>905.15</v>
      </c>
      <c r="O99" s="6">
        <v>10</v>
      </c>
      <c r="P99" s="6">
        <f t="shared" si="6"/>
        <v>90.515000000000001</v>
      </c>
      <c r="Q99" s="6">
        <f t="shared" si="7"/>
        <v>814.63499999999999</v>
      </c>
      <c r="R99" s="6" t="str">
        <f t="shared" si="8"/>
        <v>High Sale</v>
      </c>
      <c r="S99" s="6" t="str" cm="1">
        <f t="array" ref="S99">_xlfn.IFS(L99&gt;5,"High",L99=5,"Medium",L99&lt;5,"Low")</f>
        <v>Medium</v>
      </c>
      <c r="T99" s="6" t="str">
        <f t="shared" si="9"/>
        <v>Medium</v>
      </c>
    </row>
    <row r="100" spans="1:20" x14ac:dyDescent="0.25">
      <c r="A100" s="6">
        <v>10106</v>
      </c>
      <c r="B100" s="6">
        <v>1269</v>
      </c>
      <c r="C100" s="11">
        <v>45112</v>
      </c>
      <c r="D100" s="11">
        <v>45113</v>
      </c>
      <c r="E100" s="6" t="s">
        <v>109</v>
      </c>
      <c r="F100" s="6" t="s">
        <v>86</v>
      </c>
      <c r="G100" s="6" t="s">
        <v>93</v>
      </c>
      <c r="H100" s="6" t="s">
        <v>88</v>
      </c>
      <c r="I100" s="6" t="s">
        <v>112</v>
      </c>
      <c r="J100" s="6" t="s">
        <v>126</v>
      </c>
      <c r="K100" s="6" t="s">
        <v>110</v>
      </c>
      <c r="L100" s="6">
        <v>3</v>
      </c>
      <c r="M100" s="6">
        <v>3781.22</v>
      </c>
      <c r="N100" s="13">
        <f t="shared" si="5"/>
        <v>11343.66</v>
      </c>
      <c r="O100" s="6">
        <v>5</v>
      </c>
      <c r="P100" s="6">
        <f t="shared" si="6"/>
        <v>567.18299999999999</v>
      </c>
      <c r="Q100" s="6">
        <f t="shared" si="7"/>
        <v>10776.476999999999</v>
      </c>
      <c r="R100" s="6" t="str">
        <f t="shared" si="8"/>
        <v>Low Sale</v>
      </c>
      <c r="S100" s="6" t="str" cm="1">
        <f t="array" ref="S100">_xlfn.IFS(L100&gt;5,"High",L100=5,"Medium",L100&lt;5,"Low")</f>
        <v>Low</v>
      </c>
      <c r="T100" s="6" t="str">
        <f t="shared" si="9"/>
        <v>Low</v>
      </c>
    </row>
    <row r="101" spans="1:20" x14ac:dyDescent="0.25">
      <c r="A101" s="6">
        <v>10107</v>
      </c>
      <c r="B101" s="6">
        <v>1862</v>
      </c>
      <c r="C101" s="11">
        <v>45058</v>
      </c>
      <c r="D101" s="11">
        <v>45064</v>
      </c>
      <c r="E101" s="6" t="s">
        <v>109</v>
      </c>
      <c r="F101" s="6" t="s">
        <v>101</v>
      </c>
      <c r="G101" s="6" t="s">
        <v>80</v>
      </c>
      <c r="H101" s="6" t="s">
        <v>107</v>
      </c>
      <c r="I101" s="6" t="s">
        <v>115</v>
      </c>
      <c r="J101" s="6" t="s">
        <v>123</v>
      </c>
      <c r="K101" s="6" t="s">
        <v>108</v>
      </c>
      <c r="L101" s="6">
        <v>5</v>
      </c>
      <c r="M101" s="6">
        <v>1063.01</v>
      </c>
      <c r="N101" s="13">
        <f t="shared" si="5"/>
        <v>5315.05</v>
      </c>
      <c r="O101" s="6">
        <v>15</v>
      </c>
      <c r="P101" s="6">
        <f t="shared" si="6"/>
        <v>797.25750000000005</v>
      </c>
      <c r="Q101" s="6">
        <f t="shared" si="7"/>
        <v>4517.7925000000005</v>
      </c>
      <c r="R101" s="6" t="str">
        <f t="shared" si="8"/>
        <v>High Sale</v>
      </c>
      <c r="S101" s="6" t="str" cm="1">
        <f t="array" ref="S101">_xlfn.IFS(L101&gt;5,"High",L101=5,"Medium",L101&lt;5,"Low")</f>
        <v>Medium</v>
      </c>
      <c r="T101" s="6" t="str">
        <f t="shared" si="9"/>
        <v>Medium</v>
      </c>
    </row>
    <row r="102" spans="1:20" x14ac:dyDescent="0.25">
      <c r="A102" s="6">
        <v>10108</v>
      </c>
      <c r="B102" s="6">
        <v>1815</v>
      </c>
      <c r="C102" s="11">
        <v>45037</v>
      </c>
      <c r="D102" s="11">
        <v>45045</v>
      </c>
      <c r="E102" s="6" t="s">
        <v>78</v>
      </c>
      <c r="F102" s="6" t="s">
        <v>92</v>
      </c>
      <c r="G102" s="6" t="s">
        <v>87</v>
      </c>
      <c r="H102" s="6" t="s">
        <v>81</v>
      </c>
      <c r="I102" s="6" t="s">
        <v>89</v>
      </c>
      <c r="J102" s="6" t="s">
        <v>99</v>
      </c>
      <c r="K102" s="6" t="s">
        <v>84</v>
      </c>
      <c r="L102" s="6">
        <v>2</v>
      </c>
      <c r="M102" s="6">
        <v>564.30999999999995</v>
      </c>
      <c r="N102" s="13">
        <f t="shared" si="5"/>
        <v>1128.6199999999999</v>
      </c>
      <c r="O102" s="6">
        <v>15</v>
      </c>
      <c r="P102" s="6">
        <f t="shared" si="6"/>
        <v>169.29299999999998</v>
      </c>
      <c r="Q102" s="6">
        <f t="shared" si="7"/>
        <v>959.32699999999988</v>
      </c>
      <c r="R102" s="6" t="str">
        <f t="shared" si="8"/>
        <v>Low Sale</v>
      </c>
      <c r="S102" s="6" t="str" cm="1">
        <f t="array" ref="S102">_xlfn.IFS(L102&gt;5,"High",L102=5,"Medium",L102&lt;5,"Low")</f>
        <v>Low</v>
      </c>
      <c r="T102" s="6" t="str">
        <f t="shared" si="9"/>
        <v>Low</v>
      </c>
    </row>
    <row r="103" spans="1:20" x14ac:dyDescent="0.25">
      <c r="A103" s="6">
        <v>10110</v>
      </c>
      <c r="B103" s="6">
        <v>1455</v>
      </c>
      <c r="C103" s="11">
        <v>44946</v>
      </c>
      <c r="D103" s="11">
        <v>44947</v>
      </c>
      <c r="E103" s="6" t="s">
        <v>109</v>
      </c>
      <c r="F103" s="6" t="s">
        <v>79</v>
      </c>
      <c r="G103" s="6" t="s">
        <v>87</v>
      </c>
      <c r="H103" s="6" t="s">
        <v>98</v>
      </c>
      <c r="I103" s="6" t="s">
        <v>115</v>
      </c>
      <c r="J103" s="6" t="s">
        <v>119</v>
      </c>
      <c r="K103" s="6" t="s">
        <v>110</v>
      </c>
      <c r="L103" s="6">
        <v>6</v>
      </c>
      <c r="M103" s="6">
        <v>2076.84</v>
      </c>
      <c r="N103" s="13">
        <f t="shared" si="5"/>
        <v>12461.04</v>
      </c>
      <c r="O103" s="6">
        <v>20</v>
      </c>
      <c r="P103" s="6">
        <f t="shared" si="6"/>
        <v>2492.2080000000005</v>
      </c>
      <c r="Q103" s="6">
        <f t="shared" si="7"/>
        <v>9968.8320000000003</v>
      </c>
      <c r="R103" s="6" t="str">
        <f t="shared" si="8"/>
        <v>High Sale</v>
      </c>
      <c r="S103" s="6" t="str" cm="1">
        <f t="array" ref="S103">_xlfn.IFS(L103&gt;5,"High",L103=5,"Medium",L103&lt;5,"Low")</f>
        <v>High</v>
      </c>
      <c r="T103" s="6" t="str">
        <f t="shared" si="9"/>
        <v>High</v>
      </c>
    </row>
    <row r="104" spans="1:20" x14ac:dyDescent="0.25">
      <c r="A104" s="6">
        <v>10111</v>
      </c>
      <c r="B104" s="6">
        <v>1461</v>
      </c>
      <c r="C104" s="11">
        <v>44950</v>
      </c>
      <c r="D104" s="11">
        <v>44959</v>
      </c>
      <c r="E104" s="6" t="s">
        <v>78</v>
      </c>
      <c r="F104" s="6" t="s">
        <v>117</v>
      </c>
      <c r="G104" s="6" t="s">
        <v>93</v>
      </c>
      <c r="H104" s="6" t="s">
        <v>98</v>
      </c>
      <c r="I104" s="6" t="s">
        <v>112</v>
      </c>
      <c r="J104" s="6" t="s">
        <v>130</v>
      </c>
      <c r="K104" s="6" t="s">
        <v>96</v>
      </c>
      <c r="L104" s="6">
        <v>1</v>
      </c>
      <c r="M104" s="6">
        <v>1820.02</v>
      </c>
      <c r="N104" s="13">
        <f t="shared" si="5"/>
        <v>1820.02</v>
      </c>
      <c r="O104" s="6">
        <v>10</v>
      </c>
      <c r="P104" s="6">
        <f t="shared" si="6"/>
        <v>182.00200000000001</v>
      </c>
      <c r="Q104" s="6">
        <f t="shared" si="7"/>
        <v>1638.018</v>
      </c>
      <c r="R104" s="6" t="str">
        <f t="shared" si="8"/>
        <v>Low Sale</v>
      </c>
      <c r="S104" s="6" t="str" cm="1">
        <f t="array" ref="S104">_xlfn.IFS(L104&gt;5,"High",L104=5,"Medium",L104&lt;5,"Low")</f>
        <v>Low</v>
      </c>
      <c r="T104" s="6" t="str">
        <f t="shared" si="9"/>
        <v>Low</v>
      </c>
    </row>
    <row r="105" spans="1:20" x14ac:dyDescent="0.25">
      <c r="A105" s="6">
        <v>10112</v>
      </c>
      <c r="B105" s="6">
        <v>1726</v>
      </c>
      <c r="C105" s="11">
        <v>45153</v>
      </c>
      <c r="D105" s="11">
        <v>45154</v>
      </c>
      <c r="E105" s="6" t="s">
        <v>100</v>
      </c>
      <c r="F105" s="6" t="s">
        <v>104</v>
      </c>
      <c r="G105" s="6" t="s">
        <v>93</v>
      </c>
      <c r="H105" s="6" t="s">
        <v>81</v>
      </c>
      <c r="I105" s="6" t="s">
        <v>89</v>
      </c>
      <c r="J105" s="6" t="s">
        <v>99</v>
      </c>
      <c r="K105" s="6" t="s">
        <v>84</v>
      </c>
      <c r="L105" s="6">
        <v>4</v>
      </c>
      <c r="M105" s="6">
        <v>1110.5899999999999</v>
      </c>
      <c r="N105" s="13">
        <f t="shared" si="5"/>
        <v>4442.3599999999997</v>
      </c>
      <c r="O105" s="6">
        <v>20</v>
      </c>
      <c r="P105" s="6">
        <f t="shared" si="6"/>
        <v>888.47199999999998</v>
      </c>
      <c r="Q105" s="6">
        <f t="shared" si="7"/>
        <v>3553.8879999999999</v>
      </c>
      <c r="R105" s="6" t="str">
        <f t="shared" si="8"/>
        <v>Low Sale</v>
      </c>
      <c r="S105" s="6" t="str" cm="1">
        <f t="array" ref="S105">_xlfn.IFS(L105&gt;5,"High",L105=5,"Medium",L105&lt;5,"Low")</f>
        <v>Low</v>
      </c>
      <c r="T105" s="6" t="str">
        <f t="shared" si="9"/>
        <v>Low</v>
      </c>
    </row>
    <row r="106" spans="1:20" x14ac:dyDescent="0.25">
      <c r="A106" s="6">
        <v>10113</v>
      </c>
      <c r="B106" s="6">
        <v>1251</v>
      </c>
      <c r="C106" s="11">
        <v>45080</v>
      </c>
      <c r="D106" s="11">
        <v>45083</v>
      </c>
      <c r="E106" s="6" t="s">
        <v>79</v>
      </c>
      <c r="F106" s="6" t="s">
        <v>86</v>
      </c>
      <c r="G106" s="6" t="s">
        <v>80</v>
      </c>
      <c r="H106" s="6" t="s">
        <v>81</v>
      </c>
      <c r="I106" s="6" t="s">
        <v>89</v>
      </c>
      <c r="J106" s="6" t="s">
        <v>124</v>
      </c>
      <c r="K106" s="6" t="s">
        <v>84</v>
      </c>
      <c r="L106" s="6">
        <v>6</v>
      </c>
      <c r="M106" s="6">
        <v>2257.77</v>
      </c>
      <c r="N106" s="13">
        <f t="shared" si="5"/>
        <v>13546.619999999999</v>
      </c>
      <c r="O106" s="6">
        <v>20</v>
      </c>
      <c r="P106" s="6">
        <f t="shared" si="6"/>
        <v>2709.3240000000001</v>
      </c>
      <c r="Q106" s="6">
        <f t="shared" si="7"/>
        <v>10837.295999999998</v>
      </c>
      <c r="R106" s="6" t="str">
        <f t="shared" si="8"/>
        <v>High Sale</v>
      </c>
      <c r="S106" s="6" t="str" cm="1">
        <f t="array" ref="S106">_xlfn.IFS(L106&gt;5,"High",L106=5,"Medium",L106&lt;5,"Low")</f>
        <v>High</v>
      </c>
      <c r="T106" s="6" t="str">
        <f t="shared" si="9"/>
        <v>High</v>
      </c>
    </row>
    <row r="107" spans="1:20" x14ac:dyDescent="0.25">
      <c r="A107" s="6">
        <v>10114</v>
      </c>
      <c r="B107" s="6">
        <v>1701</v>
      </c>
      <c r="C107" s="11">
        <v>45219</v>
      </c>
      <c r="D107" s="11">
        <v>45227</v>
      </c>
      <c r="E107" s="6" t="s">
        <v>103</v>
      </c>
      <c r="F107" s="6" t="s">
        <v>86</v>
      </c>
      <c r="G107" s="6" t="s">
        <v>93</v>
      </c>
      <c r="H107" s="6" t="s">
        <v>88</v>
      </c>
      <c r="I107" s="6" t="s">
        <v>89</v>
      </c>
      <c r="J107" s="6" t="s">
        <v>131</v>
      </c>
      <c r="K107" s="6" t="s">
        <v>108</v>
      </c>
      <c r="L107" s="6">
        <v>9</v>
      </c>
      <c r="M107" s="6">
        <v>1206.3800000000001</v>
      </c>
      <c r="N107" s="13">
        <f t="shared" si="5"/>
        <v>10857.420000000002</v>
      </c>
      <c r="O107" s="6">
        <v>10</v>
      </c>
      <c r="P107" s="6">
        <f t="shared" si="6"/>
        <v>1085.7420000000002</v>
      </c>
      <c r="Q107" s="6">
        <f t="shared" si="7"/>
        <v>9771.6780000000017</v>
      </c>
      <c r="R107" s="6" t="str">
        <f t="shared" si="8"/>
        <v>High Sale</v>
      </c>
      <c r="S107" s="6" t="str" cm="1">
        <f t="array" ref="S107">_xlfn.IFS(L107&gt;5,"High",L107=5,"Medium",L107&lt;5,"Low")</f>
        <v>High</v>
      </c>
      <c r="T107" s="6" t="str">
        <f t="shared" si="9"/>
        <v>High</v>
      </c>
    </row>
    <row r="108" spans="1:20" x14ac:dyDescent="0.25">
      <c r="A108" s="6">
        <v>10115</v>
      </c>
      <c r="B108" s="6">
        <v>1295</v>
      </c>
      <c r="C108" s="11">
        <v>45156</v>
      </c>
      <c r="D108" s="11">
        <v>45159</v>
      </c>
      <c r="E108" s="6" t="s">
        <v>85</v>
      </c>
      <c r="F108" s="6" t="s">
        <v>117</v>
      </c>
      <c r="G108" s="6" t="s">
        <v>87</v>
      </c>
      <c r="H108" s="6" t="s">
        <v>105</v>
      </c>
      <c r="I108" s="6" t="s">
        <v>120</v>
      </c>
      <c r="J108" s="6" t="s">
        <v>125</v>
      </c>
      <c r="K108" s="6" t="s">
        <v>91</v>
      </c>
      <c r="L108" s="6">
        <v>2</v>
      </c>
      <c r="M108" s="6">
        <v>3621.09</v>
      </c>
      <c r="N108" s="13">
        <f t="shared" si="5"/>
        <v>7242.18</v>
      </c>
      <c r="O108" s="6">
        <v>0</v>
      </c>
      <c r="P108" s="6">
        <f t="shared" si="6"/>
        <v>0</v>
      </c>
      <c r="Q108" s="6">
        <f t="shared" si="7"/>
        <v>7242.18</v>
      </c>
      <c r="R108" s="6" t="str">
        <f t="shared" si="8"/>
        <v>Low Sale</v>
      </c>
      <c r="S108" s="6" t="str" cm="1">
        <f t="array" ref="S108">_xlfn.IFS(L108&gt;5,"High",L108=5,"Medium",L108&lt;5,"Low")</f>
        <v>Low</v>
      </c>
      <c r="T108" s="6" t="str">
        <f t="shared" si="9"/>
        <v>Low</v>
      </c>
    </row>
    <row r="109" spans="1:20" x14ac:dyDescent="0.25">
      <c r="A109" s="6">
        <v>10116</v>
      </c>
      <c r="B109" s="6">
        <v>1724</v>
      </c>
      <c r="C109" s="11">
        <v>45236</v>
      </c>
      <c r="D109" s="11">
        <v>45240</v>
      </c>
      <c r="E109" s="6" t="s">
        <v>79</v>
      </c>
      <c r="F109" s="6" t="s">
        <v>104</v>
      </c>
      <c r="G109" s="6" t="s">
        <v>93</v>
      </c>
      <c r="H109" s="6" t="s">
        <v>81</v>
      </c>
      <c r="I109" s="6" t="s">
        <v>115</v>
      </c>
      <c r="J109" s="6" t="s">
        <v>123</v>
      </c>
      <c r="K109" s="6" t="s">
        <v>110</v>
      </c>
      <c r="L109" s="6">
        <v>7</v>
      </c>
      <c r="M109" s="6">
        <v>978.54</v>
      </c>
      <c r="N109" s="13">
        <f t="shared" si="5"/>
        <v>6849.78</v>
      </c>
      <c r="O109" s="6">
        <v>15</v>
      </c>
      <c r="P109" s="6">
        <f t="shared" si="6"/>
        <v>1027.4669999999999</v>
      </c>
      <c r="Q109" s="6">
        <f t="shared" si="7"/>
        <v>5822.3130000000001</v>
      </c>
      <c r="R109" s="6" t="str">
        <f t="shared" si="8"/>
        <v>High Sale</v>
      </c>
      <c r="S109" s="6" t="str" cm="1">
        <f t="array" ref="S109">_xlfn.IFS(L109&gt;5,"High",L109=5,"Medium",L109&lt;5,"Low")</f>
        <v>High</v>
      </c>
      <c r="T109" s="6" t="str">
        <f t="shared" si="9"/>
        <v>High</v>
      </c>
    </row>
    <row r="110" spans="1:20" x14ac:dyDescent="0.25">
      <c r="A110" s="6">
        <v>10117</v>
      </c>
      <c r="B110" s="6">
        <v>1719</v>
      </c>
      <c r="C110" s="11">
        <v>45285</v>
      </c>
      <c r="D110" s="11">
        <v>45293</v>
      </c>
      <c r="E110" s="6" t="s">
        <v>103</v>
      </c>
      <c r="F110" s="6" t="s">
        <v>117</v>
      </c>
      <c r="G110" s="6" t="s">
        <v>80</v>
      </c>
      <c r="H110" s="6" t="s">
        <v>105</v>
      </c>
      <c r="I110" s="6" t="s">
        <v>120</v>
      </c>
      <c r="J110" s="6" t="s">
        <v>121</v>
      </c>
      <c r="K110" s="6" t="s">
        <v>110</v>
      </c>
      <c r="L110" s="6">
        <v>6</v>
      </c>
      <c r="M110" s="6">
        <v>3554.77</v>
      </c>
      <c r="N110" s="13">
        <f t="shared" si="5"/>
        <v>21328.62</v>
      </c>
      <c r="O110" s="6">
        <v>20</v>
      </c>
      <c r="P110" s="6">
        <f t="shared" si="6"/>
        <v>4265.7240000000002</v>
      </c>
      <c r="Q110" s="6">
        <f t="shared" si="7"/>
        <v>17062.896000000001</v>
      </c>
      <c r="R110" s="6" t="str">
        <f t="shared" si="8"/>
        <v>High Sale</v>
      </c>
      <c r="S110" s="6" t="str" cm="1">
        <f t="array" ref="S110">_xlfn.IFS(L110&gt;5,"High",L110=5,"Medium",L110&lt;5,"Low")</f>
        <v>High</v>
      </c>
      <c r="T110" s="6" t="str">
        <f t="shared" si="9"/>
        <v>High</v>
      </c>
    </row>
    <row r="111" spans="1:20" x14ac:dyDescent="0.25">
      <c r="A111" s="6">
        <v>10118</v>
      </c>
      <c r="B111" s="6">
        <v>1748</v>
      </c>
      <c r="C111" s="11">
        <v>45128</v>
      </c>
      <c r="D111" s="11">
        <v>45129</v>
      </c>
      <c r="E111" s="6" t="s">
        <v>85</v>
      </c>
      <c r="F111" s="6" t="s">
        <v>79</v>
      </c>
      <c r="G111" s="6" t="s">
        <v>80</v>
      </c>
      <c r="H111" s="6" t="s">
        <v>107</v>
      </c>
      <c r="I111" s="6" t="s">
        <v>94</v>
      </c>
      <c r="J111" s="6" t="s">
        <v>111</v>
      </c>
      <c r="K111" s="6" t="s">
        <v>96</v>
      </c>
      <c r="L111" s="6">
        <v>2</v>
      </c>
      <c r="M111" s="6">
        <v>2303.71</v>
      </c>
      <c r="N111" s="13">
        <f t="shared" si="5"/>
        <v>4607.42</v>
      </c>
      <c r="O111" s="6">
        <v>20</v>
      </c>
      <c r="P111" s="6">
        <f t="shared" si="6"/>
        <v>921.48400000000004</v>
      </c>
      <c r="Q111" s="6">
        <f t="shared" si="7"/>
        <v>3685.9360000000001</v>
      </c>
      <c r="R111" s="6" t="str">
        <f t="shared" si="8"/>
        <v>Low Sale</v>
      </c>
      <c r="S111" s="6" t="str" cm="1">
        <f t="array" ref="S111">_xlfn.IFS(L111&gt;5,"High",L111=5,"Medium",L111&lt;5,"Low")</f>
        <v>Low</v>
      </c>
      <c r="T111" s="6" t="str">
        <f t="shared" si="9"/>
        <v>Low</v>
      </c>
    </row>
    <row r="112" spans="1:20" x14ac:dyDescent="0.25">
      <c r="A112" s="6">
        <v>10119</v>
      </c>
      <c r="B112" s="6">
        <v>1337</v>
      </c>
      <c r="C112" s="11">
        <v>44964</v>
      </c>
      <c r="D112" s="11">
        <v>44970</v>
      </c>
      <c r="E112" s="6" t="s">
        <v>79</v>
      </c>
      <c r="F112" s="6" t="s">
        <v>101</v>
      </c>
      <c r="G112" s="6" t="s">
        <v>80</v>
      </c>
      <c r="H112" s="6" t="s">
        <v>98</v>
      </c>
      <c r="I112" s="6" t="s">
        <v>94</v>
      </c>
      <c r="J112" s="6" t="s">
        <v>95</v>
      </c>
      <c r="K112" s="6" t="s">
        <v>96</v>
      </c>
      <c r="L112" s="6">
        <v>8</v>
      </c>
      <c r="M112" s="6">
        <v>3339.68</v>
      </c>
      <c r="N112" s="13">
        <f t="shared" si="5"/>
        <v>26717.439999999999</v>
      </c>
      <c r="O112" s="6">
        <v>0</v>
      </c>
      <c r="P112" s="6">
        <f t="shared" si="6"/>
        <v>0</v>
      </c>
      <c r="Q112" s="6">
        <f t="shared" si="7"/>
        <v>26717.439999999999</v>
      </c>
      <c r="R112" s="6" t="str">
        <f t="shared" si="8"/>
        <v>High Sale</v>
      </c>
      <c r="S112" s="6" t="str" cm="1">
        <f t="array" ref="S112">_xlfn.IFS(L112&gt;5,"High",L112=5,"Medium",L112&lt;5,"Low")</f>
        <v>High</v>
      </c>
      <c r="T112" s="6" t="str">
        <f t="shared" si="9"/>
        <v>High</v>
      </c>
    </row>
    <row r="113" spans="1:20" x14ac:dyDescent="0.25">
      <c r="A113" s="6">
        <v>10120</v>
      </c>
      <c r="B113" s="6">
        <v>1878</v>
      </c>
      <c r="C113" s="11">
        <v>45186</v>
      </c>
      <c r="D113" s="11">
        <v>45187</v>
      </c>
      <c r="E113" s="6" t="s">
        <v>103</v>
      </c>
      <c r="F113" s="6" t="s">
        <v>86</v>
      </c>
      <c r="G113" s="6" t="s">
        <v>87</v>
      </c>
      <c r="H113" s="6" t="s">
        <v>105</v>
      </c>
      <c r="I113" s="6" t="s">
        <v>115</v>
      </c>
      <c r="J113" s="6" t="s">
        <v>116</v>
      </c>
      <c r="K113" s="6" t="s">
        <v>110</v>
      </c>
      <c r="L113" s="6">
        <v>7</v>
      </c>
      <c r="M113" s="6">
        <v>2894.46</v>
      </c>
      <c r="N113" s="13">
        <f t="shared" si="5"/>
        <v>20261.22</v>
      </c>
      <c r="O113" s="6">
        <v>5</v>
      </c>
      <c r="P113" s="6">
        <f t="shared" si="6"/>
        <v>1013.0610000000001</v>
      </c>
      <c r="Q113" s="6">
        <f t="shared" si="7"/>
        <v>19248.159</v>
      </c>
      <c r="R113" s="6" t="str">
        <f t="shared" si="8"/>
        <v>High Sale</v>
      </c>
      <c r="S113" s="6" t="str" cm="1">
        <f t="array" ref="S113">_xlfn.IFS(L113&gt;5,"High",L113=5,"Medium",L113&lt;5,"Low")</f>
        <v>High</v>
      </c>
      <c r="T113" s="6" t="str">
        <f t="shared" si="9"/>
        <v>High</v>
      </c>
    </row>
    <row r="114" spans="1:20" x14ac:dyDescent="0.25">
      <c r="A114" s="6">
        <v>10121</v>
      </c>
      <c r="B114" s="6">
        <v>1052</v>
      </c>
      <c r="C114" s="11">
        <v>45114</v>
      </c>
      <c r="D114" s="11">
        <v>45115</v>
      </c>
      <c r="E114" s="6" t="s">
        <v>79</v>
      </c>
      <c r="F114" s="6" t="s">
        <v>79</v>
      </c>
      <c r="G114" s="6" t="s">
        <v>87</v>
      </c>
      <c r="H114" s="6" t="s">
        <v>98</v>
      </c>
      <c r="I114" s="6" t="s">
        <v>120</v>
      </c>
      <c r="J114" s="6" t="s">
        <v>125</v>
      </c>
      <c r="K114" s="6" t="s">
        <v>96</v>
      </c>
      <c r="L114" s="6">
        <v>5</v>
      </c>
      <c r="M114" s="6">
        <v>2832.28</v>
      </c>
      <c r="N114" s="13">
        <f t="shared" si="5"/>
        <v>14161.400000000001</v>
      </c>
      <c r="O114" s="6">
        <v>0</v>
      </c>
      <c r="P114" s="6">
        <f t="shared" si="6"/>
        <v>0</v>
      </c>
      <c r="Q114" s="6">
        <f t="shared" si="7"/>
        <v>14161.400000000001</v>
      </c>
      <c r="R114" s="6" t="str">
        <f t="shared" si="8"/>
        <v>High Sale</v>
      </c>
      <c r="S114" s="6" t="str" cm="1">
        <f t="array" ref="S114">_xlfn.IFS(L114&gt;5,"High",L114=5,"Medium",L114&lt;5,"Low")</f>
        <v>Medium</v>
      </c>
      <c r="T114" s="6" t="str">
        <f t="shared" si="9"/>
        <v>Medium</v>
      </c>
    </row>
    <row r="115" spans="1:20" x14ac:dyDescent="0.25">
      <c r="A115" s="6">
        <v>10122</v>
      </c>
      <c r="B115" s="6">
        <v>1791</v>
      </c>
      <c r="C115" s="11">
        <v>44983</v>
      </c>
      <c r="D115" s="11">
        <v>44991</v>
      </c>
      <c r="E115" s="6" t="s">
        <v>79</v>
      </c>
      <c r="F115" s="6" t="s">
        <v>101</v>
      </c>
      <c r="G115" s="6" t="s">
        <v>87</v>
      </c>
      <c r="H115" s="6" t="s">
        <v>105</v>
      </c>
      <c r="I115" s="6" t="s">
        <v>112</v>
      </c>
      <c r="J115" s="6" t="s">
        <v>126</v>
      </c>
      <c r="K115" s="6" t="s">
        <v>108</v>
      </c>
      <c r="L115" s="6">
        <v>5</v>
      </c>
      <c r="M115" s="6">
        <v>1398.73</v>
      </c>
      <c r="N115" s="13">
        <f t="shared" si="5"/>
        <v>6993.65</v>
      </c>
      <c r="O115" s="6">
        <v>0</v>
      </c>
      <c r="P115" s="6">
        <f t="shared" si="6"/>
        <v>0</v>
      </c>
      <c r="Q115" s="6">
        <f t="shared" si="7"/>
        <v>6993.65</v>
      </c>
      <c r="R115" s="6" t="str">
        <f t="shared" si="8"/>
        <v>High Sale</v>
      </c>
      <c r="S115" s="6" t="str" cm="1">
        <f t="array" ref="S115">_xlfn.IFS(L115&gt;5,"High",L115=5,"Medium",L115&lt;5,"Low")</f>
        <v>Medium</v>
      </c>
      <c r="T115" s="6" t="str">
        <f t="shared" si="9"/>
        <v>Medium</v>
      </c>
    </row>
    <row r="116" spans="1:20" x14ac:dyDescent="0.25">
      <c r="A116" s="6">
        <v>10123</v>
      </c>
      <c r="B116" s="6">
        <v>1921</v>
      </c>
      <c r="C116" s="11">
        <v>44946</v>
      </c>
      <c r="D116" s="11">
        <v>44950</v>
      </c>
      <c r="E116" s="6" t="s">
        <v>85</v>
      </c>
      <c r="F116" s="6" t="s">
        <v>79</v>
      </c>
      <c r="G116" s="6" t="s">
        <v>87</v>
      </c>
      <c r="H116" s="6" t="s">
        <v>107</v>
      </c>
      <c r="I116" s="6" t="s">
        <v>89</v>
      </c>
      <c r="J116" s="6" t="s">
        <v>131</v>
      </c>
      <c r="K116" s="6" t="s">
        <v>110</v>
      </c>
      <c r="L116" s="6">
        <v>7</v>
      </c>
      <c r="M116" s="6">
        <v>1050.5</v>
      </c>
      <c r="N116" s="13">
        <f t="shared" si="5"/>
        <v>7353.5</v>
      </c>
      <c r="O116" s="6">
        <v>20</v>
      </c>
      <c r="P116" s="6">
        <f t="shared" si="6"/>
        <v>1470.7</v>
      </c>
      <c r="Q116" s="6">
        <f t="shared" si="7"/>
        <v>5882.8</v>
      </c>
      <c r="R116" s="6" t="str">
        <f t="shared" si="8"/>
        <v>High Sale</v>
      </c>
      <c r="S116" s="6" t="str" cm="1">
        <f t="array" ref="S116">_xlfn.IFS(L116&gt;5,"High",L116=5,"Medium",L116&lt;5,"Low")</f>
        <v>High</v>
      </c>
      <c r="T116" s="6" t="str">
        <f t="shared" si="9"/>
        <v>High</v>
      </c>
    </row>
    <row r="117" spans="1:20" x14ac:dyDescent="0.25">
      <c r="A117" s="6">
        <v>10124</v>
      </c>
      <c r="B117" s="6">
        <v>1216</v>
      </c>
      <c r="C117" s="11">
        <v>45199</v>
      </c>
      <c r="D117" s="11">
        <v>45200</v>
      </c>
      <c r="E117" s="6" t="s">
        <v>79</v>
      </c>
      <c r="F117" s="6" t="s">
        <v>104</v>
      </c>
      <c r="G117" s="6" t="s">
        <v>87</v>
      </c>
      <c r="H117" s="6" t="s">
        <v>81</v>
      </c>
      <c r="I117" s="6" t="s">
        <v>89</v>
      </c>
      <c r="J117" s="6" t="s">
        <v>124</v>
      </c>
      <c r="K117" s="6" t="s">
        <v>96</v>
      </c>
      <c r="L117" s="6">
        <v>9</v>
      </c>
      <c r="M117" s="6">
        <v>961.91</v>
      </c>
      <c r="N117" s="13">
        <f t="shared" si="5"/>
        <v>8657.19</v>
      </c>
      <c r="O117" s="6">
        <v>15</v>
      </c>
      <c r="P117" s="6">
        <f t="shared" si="6"/>
        <v>1298.5785000000001</v>
      </c>
      <c r="Q117" s="6">
        <f t="shared" si="7"/>
        <v>7358.6115000000009</v>
      </c>
      <c r="R117" s="6" t="str">
        <f t="shared" si="8"/>
        <v>High Sale</v>
      </c>
      <c r="S117" s="6" t="str" cm="1">
        <f t="array" ref="S117">_xlfn.IFS(L117&gt;5,"High",L117=5,"Medium",L117&lt;5,"Low")</f>
        <v>High</v>
      </c>
      <c r="T117" s="6" t="str">
        <f t="shared" si="9"/>
        <v>High</v>
      </c>
    </row>
    <row r="118" spans="1:20" x14ac:dyDescent="0.25">
      <c r="A118" s="6">
        <v>10125</v>
      </c>
      <c r="B118" s="6">
        <v>1763</v>
      </c>
      <c r="C118" s="11">
        <v>45045</v>
      </c>
      <c r="D118" s="11">
        <v>45052</v>
      </c>
      <c r="E118" s="6" t="s">
        <v>79</v>
      </c>
      <c r="F118" s="6" t="s">
        <v>86</v>
      </c>
      <c r="G118" s="6" t="s">
        <v>93</v>
      </c>
      <c r="H118" s="6" t="s">
        <v>107</v>
      </c>
      <c r="I118" s="6" t="s">
        <v>115</v>
      </c>
      <c r="J118" s="6" t="s">
        <v>127</v>
      </c>
      <c r="K118" s="6" t="s">
        <v>110</v>
      </c>
      <c r="L118" s="6">
        <v>9</v>
      </c>
      <c r="M118" s="6">
        <v>3450.19</v>
      </c>
      <c r="N118" s="13">
        <f t="shared" si="5"/>
        <v>31051.71</v>
      </c>
      <c r="O118" s="6">
        <v>0</v>
      </c>
      <c r="P118" s="6">
        <f t="shared" si="6"/>
        <v>0</v>
      </c>
      <c r="Q118" s="6">
        <f t="shared" si="7"/>
        <v>31051.71</v>
      </c>
      <c r="R118" s="6" t="str">
        <f t="shared" si="8"/>
        <v>High Sale</v>
      </c>
      <c r="S118" s="6" t="str" cm="1">
        <f t="array" ref="S118">_xlfn.IFS(L118&gt;5,"High",L118=5,"Medium",L118&lt;5,"Low")</f>
        <v>High</v>
      </c>
      <c r="T118" s="6" t="str">
        <f t="shared" si="9"/>
        <v>High</v>
      </c>
    </row>
    <row r="119" spans="1:20" x14ac:dyDescent="0.25">
      <c r="A119" s="6">
        <v>10126</v>
      </c>
      <c r="B119" s="6">
        <v>1187</v>
      </c>
      <c r="C119" s="11">
        <v>44997</v>
      </c>
      <c r="D119" s="11">
        <v>45002</v>
      </c>
      <c r="E119" s="6" t="s">
        <v>85</v>
      </c>
      <c r="F119" s="6" t="s">
        <v>117</v>
      </c>
      <c r="G119" s="6" t="s">
        <v>87</v>
      </c>
      <c r="H119" s="6" t="s">
        <v>81</v>
      </c>
      <c r="I119" s="6" t="s">
        <v>94</v>
      </c>
      <c r="J119" s="6" t="s">
        <v>111</v>
      </c>
      <c r="K119" s="6" t="s">
        <v>91</v>
      </c>
      <c r="L119" s="6">
        <v>9</v>
      </c>
      <c r="M119" s="6">
        <v>3308.64</v>
      </c>
      <c r="N119" s="13">
        <f t="shared" si="5"/>
        <v>29777.759999999998</v>
      </c>
      <c r="O119" s="6">
        <v>5</v>
      </c>
      <c r="P119" s="6">
        <f t="shared" si="6"/>
        <v>1488.8879999999999</v>
      </c>
      <c r="Q119" s="6">
        <f t="shared" si="7"/>
        <v>28288.871999999999</v>
      </c>
      <c r="R119" s="6" t="str">
        <f t="shared" si="8"/>
        <v>High Sale</v>
      </c>
      <c r="S119" s="6" t="str" cm="1">
        <f t="array" ref="S119">_xlfn.IFS(L119&gt;5,"High",L119=5,"Medium",L119&lt;5,"Low")</f>
        <v>High</v>
      </c>
      <c r="T119" s="6" t="str">
        <f t="shared" si="9"/>
        <v>High</v>
      </c>
    </row>
    <row r="120" spans="1:20" x14ac:dyDescent="0.25">
      <c r="A120" s="6">
        <v>10127</v>
      </c>
      <c r="B120" s="6">
        <v>1379</v>
      </c>
      <c r="C120" s="11">
        <v>44930</v>
      </c>
      <c r="D120" s="11">
        <v>44935</v>
      </c>
      <c r="E120" s="6" t="s">
        <v>100</v>
      </c>
      <c r="F120" s="6" t="s">
        <v>117</v>
      </c>
      <c r="G120" s="6" t="s">
        <v>87</v>
      </c>
      <c r="H120" s="6" t="s">
        <v>81</v>
      </c>
      <c r="I120" s="6" t="s">
        <v>94</v>
      </c>
      <c r="J120" s="6" t="s">
        <v>102</v>
      </c>
      <c r="K120" s="6" t="s">
        <v>84</v>
      </c>
      <c r="L120" s="6">
        <v>6</v>
      </c>
      <c r="M120" s="6">
        <v>1846.21</v>
      </c>
      <c r="N120" s="13">
        <f t="shared" si="5"/>
        <v>11077.26</v>
      </c>
      <c r="O120" s="6">
        <v>10</v>
      </c>
      <c r="P120" s="6">
        <f t="shared" si="6"/>
        <v>1107.7260000000001</v>
      </c>
      <c r="Q120" s="6">
        <f t="shared" si="7"/>
        <v>9969.5339999999997</v>
      </c>
      <c r="R120" s="6" t="str">
        <f t="shared" si="8"/>
        <v>High Sale</v>
      </c>
      <c r="S120" s="6" t="str" cm="1">
        <f t="array" ref="S120">_xlfn.IFS(L120&gt;5,"High",L120=5,"Medium",L120&lt;5,"Low")</f>
        <v>High</v>
      </c>
      <c r="T120" s="6" t="str">
        <f t="shared" si="9"/>
        <v>High</v>
      </c>
    </row>
    <row r="121" spans="1:20" x14ac:dyDescent="0.25">
      <c r="A121" s="6">
        <v>10128</v>
      </c>
      <c r="B121" s="6">
        <v>1492</v>
      </c>
      <c r="C121" s="11">
        <v>45147</v>
      </c>
      <c r="D121" s="11">
        <v>45148</v>
      </c>
      <c r="E121" s="6" t="s">
        <v>109</v>
      </c>
      <c r="F121" s="6" t="s">
        <v>101</v>
      </c>
      <c r="G121" s="6" t="s">
        <v>93</v>
      </c>
      <c r="H121" s="6" t="s">
        <v>98</v>
      </c>
      <c r="I121" s="6" t="s">
        <v>89</v>
      </c>
      <c r="J121" s="6" t="s">
        <v>124</v>
      </c>
      <c r="K121" s="6" t="s">
        <v>110</v>
      </c>
      <c r="L121" s="6">
        <v>6</v>
      </c>
      <c r="M121" s="6">
        <v>659.76</v>
      </c>
      <c r="N121" s="13">
        <f t="shared" si="5"/>
        <v>3958.56</v>
      </c>
      <c r="O121" s="6">
        <v>0</v>
      </c>
      <c r="P121" s="6">
        <f t="shared" si="6"/>
        <v>0</v>
      </c>
      <c r="Q121" s="6">
        <f t="shared" si="7"/>
        <v>3958.56</v>
      </c>
      <c r="R121" s="6" t="str">
        <f t="shared" si="8"/>
        <v>High Sale</v>
      </c>
      <c r="S121" s="6" t="str" cm="1">
        <f t="array" ref="S121">_xlfn.IFS(L121&gt;5,"High",L121=5,"Medium",L121&lt;5,"Low")</f>
        <v>High</v>
      </c>
      <c r="T121" s="6" t="str">
        <f t="shared" si="9"/>
        <v>High</v>
      </c>
    </row>
    <row r="122" spans="1:20" x14ac:dyDescent="0.25">
      <c r="A122" s="6">
        <v>10129</v>
      </c>
      <c r="B122" s="6">
        <v>1040</v>
      </c>
      <c r="C122" s="11">
        <v>44940</v>
      </c>
      <c r="D122" s="11">
        <v>44946</v>
      </c>
      <c r="E122" s="6" t="s">
        <v>97</v>
      </c>
      <c r="F122" s="6" t="s">
        <v>92</v>
      </c>
      <c r="G122" s="6" t="s">
        <v>87</v>
      </c>
      <c r="H122" s="6" t="s">
        <v>107</v>
      </c>
      <c r="I122" s="6" t="s">
        <v>115</v>
      </c>
      <c r="J122" s="6" t="s">
        <v>119</v>
      </c>
      <c r="K122" s="6" t="s">
        <v>84</v>
      </c>
      <c r="L122" s="6">
        <v>3</v>
      </c>
      <c r="M122" s="6">
        <v>1621.67</v>
      </c>
      <c r="N122" s="13">
        <f t="shared" si="5"/>
        <v>4865.01</v>
      </c>
      <c r="O122" s="6">
        <v>0</v>
      </c>
      <c r="P122" s="6">
        <f t="shared" si="6"/>
        <v>0</v>
      </c>
      <c r="Q122" s="6">
        <f t="shared" si="7"/>
        <v>4865.01</v>
      </c>
      <c r="R122" s="6" t="str">
        <f t="shared" si="8"/>
        <v>Low Sale</v>
      </c>
      <c r="S122" s="6" t="str" cm="1">
        <f t="array" ref="S122">_xlfn.IFS(L122&gt;5,"High",L122=5,"Medium",L122&lt;5,"Low")</f>
        <v>Low</v>
      </c>
      <c r="T122" s="6" t="str">
        <f t="shared" si="9"/>
        <v>Low</v>
      </c>
    </row>
    <row r="123" spans="1:20" x14ac:dyDescent="0.25">
      <c r="A123" s="6">
        <v>10130</v>
      </c>
      <c r="B123" s="6">
        <v>1156</v>
      </c>
      <c r="C123" s="11">
        <v>44929</v>
      </c>
      <c r="D123" s="11">
        <v>44938</v>
      </c>
      <c r="E123" s="6" t="s">
        <v>78</v>
      </c>
      <c r="F123" s="6" t="s">
        <v>104</v>
      </c>
      <c r="G123" s="6" t="s">
        <v>80</v>
      </c>
      <c r="H123" s="6" t="s">
        <v>105</v>
      </c>
      <c r="I123" s="6" t="s">
        <v>120</v>
      </c>
      <c r="J123" s="6" t="s">
        <v>125</v>
      </c>
      <c r="K123" s="6" t="s">
        <v>96</v>
      </c>
      <c r="L123" s="6">
        <v>1</v>
      </c>
      <c r="M123" s="6">
        <v>2534.4699999999998</v>
      </c>
      <c r="N123" s="13">
        <f t="shared" si="5"/>
        <v>2534.4699999999998</v>
      </c>
      <c r="O123" s="6">
        <v>5</v>
      </c>
      <c r="P123" s="6">
        <f t="shared" si="6"/>
        <v>126.7235</v>
      </c>
      <c r="Q123" s="6">
        <f t="shared" si="7"/>
        <v>2407.7464999999997</v>
      </c>
      <c r="R123" s="6" t="str">
        <f t="shared" si="8"/>
        <v>Low Sale</v>
      </c>
      <c r="S123" s="6" t="str" cm="1">
        <f t="array" ref="S123">_xlfn.IFS(L123&gt;5,"High",L123=5,"Medium",L123&lt;5,"Low")</f>
        <v>Low</v>
      </c>
      <c r="T123" s="6" t="str">
        <f t="shared" si="9"/>
        <v>Low</v>
      </c>
    </row>
    <row r="124" spans="1:20" x14ac:dyDescent="0.25">
      <c r="A124" s="6">
        <v>10131</v>
      </c>
      <c r="B124" s="6">
        <v>1014</v>
      </c>
      <c r="C124" s="11">
        <v>45142</v>
      </c>
      <c r="D124" s="11">
        <v>45151</v>
      </c>
      <c r="E124" s="6" t="s">
        <v>97</v>
      </c>
      <c r="F124" s="6" t="s">
        <v>101</v>
      </c>
      <c r="G124" s="6" t="s">
        <v>87</v>
      </c>
      <c r="H124" s="6" t="s">
        <v>107</v>
      </c>
      <c r="I124" s="6" t="s">
        <v>94</v>
      </c>
      <c r="J124" s="6" t="s">
        <v>95</v>
      </c>
      <c r="K124" s="6" t="s">
        <v>84</v>
      </c>
      <c r="L124" s="6">
        <v>7</v>
      </c>
      <c r="M124" s="6">
        <v>1899.45</v>
      </c>
      <c r="N124" s="13">
        <f t="shared" si="5"/>
        <v>13296.15</v>
      </c>
      <c r="O124" s="6">
        <v>15</v>
      </c>
      <c r="P124" s="6">
        <f t="shared" si="6"/>
        <v>1994.4224999999999</v>
      </c>
      <c r="Q124" s="6">
        <f t="shared" si="7"/>
        <v>11301.727499999999</v>
      </c>
      <c r="R124" s="6" t="str">
        <f t="shared" si="8"/>
        <v>High Sale</v>
      </c>
      <c r="S124" s="6" t="str" cm="1">
        <f t="array" ref="S124">_xlfn.IFS(L124&gt;5,"High",L124=5,"Medium",L124&lt;5,"Low")</f>
        <v>High</v>
      </c>
      <c r="T124" s="6" t="str">
        <f t="shared" si="9"/>
        <v>High</v>
      </c>
    </row>
    <row r="125" spans="1:20" x14ac:dyDescent="0.25">
      <c r="A125" s="6">
        <v>10132</v>
      </c>
      <c r="B125" s="6">
        <v>1812</v>
      </c>
      <c r="C125" s="11">
        <v>45155</v>
      </c>
      <c r="D125" s="11">
        <v>45163</v>
      </c>
      <c r="E125" s="6" t="s">
        <v>97</v>
      </c>
      <c r="F125" s="6" t="s">
        <v>92</v>
      </c>
      <c r="G125" s="6" t="s">
        <v>87</v>
      </c>
      <c r="H125" s="6" t="s">
        <v>98</v>
      </c>
      <c r="I125" s="6" t="s">
        <v>120</v>
      </c>
      <c r="J125" s="6" t="s">
        <v>121</v>
      </c>
      <c r="K125" s="6" t="s">
        <v>110</v>
      </c>
      <c r="L125" s="6">
        <v>4</v>
      </c>
      <c r="M125" s="6">
        <v>3153.73</v>
      </c>
      <c r="N125" s="13">
        <f t="shared" si="5"/>
        <v>12614.92</v>
      </c>
      <c r="O125" s="6">
        <v>0</v>
      </c>
      <c r="P125" s="6">
        <f t="shared" si="6"/>
        <v>0</v>
      </c>
      <c r="Q125" s="6">
        <f t="shared" si="7"/>
        <v>12614.92</v>
      </c>
      <c r="R125" s="6" t="str">
        <f t="shared" si="8"/>
        <v>Low Sale</v>
      </c>
      <c r="S125" s="6" t="str" cm="1">
        <f t="array" ref="S125">_xlfn.IFS(L125&gt;5,"High",L125=5,"Medium",L125&lt;5,"Low")</f>
        <v>Low</v>
      </c>
      <c r="T125" s="6" t="str">
        <f t="shared" si="9"/>
        <v>Low</v>
      </c>
    </row>
    <row r="126" spans="1:20" x14ac:dyDescent="0.25">
      <c r="A126" s="6">
        <v>10133</v>
      </c>
      <c r="B126" s="6">
        <v>1064</v>
      </c>
      <c r="C126" s="11">
        <v>45262</v>
      </c>
      <c r="D126" s="11">
        <v>45267</v>
      </c>
      <c r="E126" s="6" t="s">
        <v>103</v>
      </c>
      <c r="F126" s="6" t="s">
        <v>79</v>
      </c>
      <c r="G126" s="6" t="s">
        <v>80</v>
      </c>
      <c r="H126" s="6" t="s">
        <v>81</v>
      </c>
      <c r="I126" s="6" t="s">
        <v>94</v>
      </c>
      <c r="J126" s="6" t="s">
        <v>111</v>
      </c>
      <c r="K126" s="6" t="s">
        <v>91</v>
      </c>
      <c r="L126" s="6">
        <v>1</v>
      </c>
      <c r="M126" s="6">
        <v>3990.85</v>
      </c>
      <c r="N126" s="13">
        <f t="shared" si="5"/>
        <v>3990.85</v>
      </c>
      <c r="O126" s="6">
        <v>0</v>
      </c>
      <c r="P126" s="6">
        <f t="shared" si="6"/>
        <v>0</v>
      </c>
      <c r="Q126" s="6">
        <f t="shared" si="7"/>
        <v>3990.85</v>
      </c>
      <c r="R126" s="6" t="str">
        <f t="shared" si="8"/>
        <v>Low Sale</v>
      </c>
      <c r="S126" s="6" t="str" cm="1">
        <f t="array" ref="S126">_xlfn.IFS(L126&gt;5,"High",L126=5,"Medium",L126&lt;5,"Low")</f>
        <v>Low</v>
      </c>
      <c r="T126" s="6" t="str">
        <f t="shared" si="9"/>
        <v>Low</v>
      </c>
    </row>
    <row r="127" spans="1:20" x14ac:dyDescent="0.25">
      <c r="A127" s="6">
        <v>10135</v>
      </c>
      <c r="B127" s="6">
        <v>1838</v>
      </c>
      <c r="C127" s="11">
        <v>44981</v>
      </c>
      <c r="D127" s="11">
        <v>44990</v>
      </c>
      <c r="E127" s="6" t="s">
        <v>103</v>
      </c>
      <c r="F127" s="6" t="s">
        <v>79</v>
      </c>
      <c r="G127" s="6" t="s">
        <v>80</v>
      </c>
      <c r="H127" s="6" t="s">
        <v>88</v>
      </c>
      <c r="I127" s="6" t="s">
        <v>82</v>
      </c>
      <c r="J127" s="6" t="s">
        <v>106</v>
      </c>
      <c r="K127" s="6" t="s">
        <v>110</v>
      </c>
      <c r="L127" s="6">
        <v>6</v>
      </c>
      <c r="M127" s="6">
        <v>1919.66</v>
      </c>
      <c r="N127" s="13">
        <f t="shared" si="5"/>
        <v>11517.960000000001</v>
      </c>
      <c r="O127" s="6">
        <v>5</v>
      </c>
      <c r="P127" s="6">
        <f t="shared" si="6"/>
        <v>575.89800000000002</v>
      </c>
      <c r="Q127" s="6">
        <f t="shared" si="7"/>
        <v>10942.062000000002</v>
      </c>
      <c r="R127" s="6" t="str">
        <f t="shared" si="8"/>
        <v>High Sale</v>
      </c>
      <c r="S127" s="6" t="str" cm="1">
        <f t="array" ref="S127">_xlfn.IFS(L127&gt;5,"High",L127=5,"Medium",L127&lt;5,"Low")</f>
        <v>High</v>
      </c>
      <c r="T127" s="6" t="str">
        <f t="shared" si="9"/>
        <v>High</v>
      </c>
    </row>
    <row r="128" spans="1:20" x14ac:dyDescent="0.25">
      <c r="A128" s="6">
        <v>10136</v>
      </c>
      <c r="B128" s="6">
        <v>1520</v>
      </c>
      <c r="C128" s="11">
        <v>45180</v>
      </c>
      <c r="D128" s="11">
        <v>45181</v>
      </c>
      <c r="E128" s="6" t="s">
        <v>109</v>
      </c>
      <c r="F128" s="6" t="s">
        <v>86</v>
      </c>
      <c r="G128" s="6" t="s">
        <v>80</v>
      </c>
      <c r="H128" s="6" t="s">
        <v>88</v>
      </c>
      <c r="I128" s="6" t="s">
        <v>94</v>
      </c>
      <c r="J128" s="6" t="s">
        <v>102</v>
      </c>
      <c r="K128" s="6" t="s">
        <v>96</v>
      </c>
      <c r="L128" s="6">
        <v>6</v>
      </c>
      <c r="M128" s="6">
        <v>1809.29</v>
      </c>
      <c r="N128" s="13">
        <f t="shared" si="5"/>
        <v>10855.74</v>
      </c>
      <c r="O128" s="6">
        <v>0</v>
      </c>
      <c r="P128" s="6">
        <f t="shared" si="6"/>
        <v>0</v>
      </c>
      <c r="Q128" s="6">
        <f t="shared" si="7"/>
        <v>10855.74</v>
      </c>
      <c r="R128" s="6" t="str">
        <f t="shared" si="8"/>
        <v>High Sale</v>
      </c>
      <c r="S128" s="6" t="str" cm="1">
        <f t="array" ref="S128">_xlfn.IFS(L128&gt;5,"High",L128=5,"Medium",L128&lt;5,"Low")</f>
        <v>High</v>
      </c>
      <c r="T128" s="6" t="str">
        <f t="shared" si="9"/>
        <v>High</v>
      </c>
    </row>
    <row r="129" spans="1:20" x14ac:dyDescent="0.25">
      <c r="A129" s="6">
        <v>10138</v>
      </c>
      <c r="B129" s="6">
        <v>1128</v>
      </c>
      <c r="C129" s="11">
        <v>45088</v>
      </c>
      <c r="D129" s="11">
        <v>45093</v>
      </c>
      <c r="E129" s="6" t="s">
        <v>85</v>
      </c>
      <c r="F129" s="6" t="s">
        <v>92</v>
      </c>
      <c r="G129" s="6" t="s">
        <v>80</v>
      </c>
      <c r="H129" s="6" t="s">
        <v>98</v>
      </c>
      <c r="I129" s="6" t="s">
        <v>115</v>
      </c>
      <c r="J129" s="6" t="s">
        <v>116</v>
      </c>
      <c r="K129" s="6" t="s">
        <v>84</v>
      </c>
      <c r="L129" s="6">
        <v>1</v>
      </c>
      <c r="M129" s="6">
        <v>912.67</v>
      </c>
      <c r="N129" s="13">
        <f t="shared" si="5"/>
        <v>912.67</v>
      </c>
      <c r="O129" s="6">
        <v>0</v>
      </c>
      <c r="P129" s="6">
        <f t="shared" si="6"/>
        <v>0</v>
      </c>
      <c r="Q129" s="6">
        <f t="shared" si="7"/>
        <v>912.67</v>
      </c>
      <c r="R129" s="6" t="str">
        <f t="shared" si="8"/>
        <v>Low Sale</v>
      </c>
      <c r="S129" s="6" t="str" cm="1">
        <f t="array" ref="S129">_xlfn.IFS(L129&gt;5,"High",L129=5,"Medium",L129&lt;5,"Low")</f>
        <v>Low</v>
      </c>
      <c r="T129" s="6" t="str">
        <f t="shared" si="9"/>
        <v>Low</v>
      </c>
    </row>
    <row r="130" spans="1:20" x14ac:dyDescent="0.25">
      <c r="A130" s="6">
        <v>10139</v>
      </c>
      <c r="B130" s="6">
        <v>1647</v>
      </c>
      <c r="C130" s="11">
        <v>45084</v>
      </c>
      <c r="D130" s="11">
        <v>45087</v>
      </c>
      <c r="E130" s="6" t="s">
        <v>109</v>
      </c>
      <c r="F130" s="6" t="s">
        <v>86</v>
      </c>
      <c r="G130" s="6" t="s">
        <v>80</v>
      </c>
      <c r="H130" s="6" t="s">
        <v>105</v>
      </c>
      <c r="I130" s="6" t="s">
        <v>115</v>
      </c>
      <c r="J130" s="6" t="s">
        <v>116</v>
      </c>
      <c r="K130" s="6" t="s">
        <v>108</v>
      </c>
      <c r="L130" s="6">
        <v>2</v>
      </c>
      <c r="M130" s="6">
        <v>402.91</v>
      </c>
      <c r="N130" s="13">
        <f t="shared" si="5"/>
        <v>805.82</v>
      </c>
      <c r="O130" s="6">
        <v>10</v>
      </c>
      <c r="P130" s="6">
        <f t="shared" si="6"/>
        <v>80.582000000000008</v>
      </c>
      <c r="Q130" s="6">
        <f t="shared" si="7"/>
        <v>725.23800000000006</v>
      </c>
      <c r="R130" s="6" t="str">
        <f t="shared" si="8"/>
        <v>Low Sale</v>
      </c>
      <c r="S130" s="6" t="str" cm="1">
        <f t="array" ref="S130">_xlfn.IFS(L130&gt;5,"High",L130=5,"Medium",L130&lt;5,"Low")</f>
        <v>Low</v>
      </c>
      <c r="T130" s="6" t="str">
        <f t="shared" si="9"/>
        <v>Low</v>
      </c>
    </row>
    <row r="131" spans="1:20" x14ac:dyDescent="0.25">
      <c r="A131" s="6">
        <v>10140</v>
      </c>
      <c r="B131" s="6">
        <v>1471</v>
      </c>
      <c r="C131" s="11">
        <v>45008</v>
      </c>
      <c r="D131" s="11">
        <v>45015</v>
      </c>
      <c r="E131" s="6" t="s">
        <v>79</v>
      </c>
      <c r="F131" s="6" t="s">
        <v>117</v>
      </c>
      <c r="G131" s="6" t="s">
        <v>93</v>
      </c>
      <c r="H131" s="6" t="s">
        <v>105</v>
      </c>
      <c r="I131" s="6" t="s">
        <v>120</v>
      </c>
      <c r="J131" s="6" t="s">
        <v>122</v>
      </c>
      <c r="K131" s="6" t="s">
        <v>110</v>
      </c>
      <c r="L131" s="6">
        <v>4</v>
      </c>
      <c r="M131" s="6">
        <v>3565.41</v>
      </c>
      <c r="N131" s="13">
        <f t="shared" ref="N131:N194" si="10">L131*M131</f>
        <v>14261.64</v>
      </c>
      <c r="O131" s="6">
        <v>20</v>
      </c>
      <c r="P131" s="6">
        <f t="shared" ref="P131:P194" si="11">N131*O131%</f>
        <v>2852.328</v>
      </c>
      <c r="Q131" s="6">
        <f t="shared" ref="Q131:Q194" si="12">N131-P131</f>
        <v>11409.312</v>
      </c>
      <c r="R131" s="6" t="str">
        <f t="shared" ref="R131:R194" si="13">IF(L131&gt;=5,"High Sale", "Low Sale")</f>
        <v>Low Sale</v>
      </c>
      <c r="S131" s="6" t="str" cm="1">
        <f t="array" ref="S131">_xlfn.IFS(L131&gt;5,"High",L131=5,"Medium",L131&lt;5,"Low")</f>
        <v>Low</v>
      </c>
      <c r="T131" s="6" t="str">
        <f t="shared" ref="T131:T194" si="14">IF(L131&gt;5,"High",IF(L131=5,"Medium","Low"))</f>
        <v>Low</v>
      </c>
    </row>
    <row r="132" spans="1:20" x14ac:dyDescent="0.25">
      <c r="A132" s="6">
        <v>10141</v>
      </c>
      <c r="B132" s="6">
        <v>1062</v>
      </c>
      <c r="C132" s="11">
        <v>45085</v>
      </c>
      <c r="D132" s="11">
        <v>45092</v>
      </c>
      <c r="E132" s="6" t="s">
        <v>100</v>
      </c>
      <c r="F132" s="6" t="s">
        <v>92</v>
      </c>
      <c r="G132" s="6" t="s">
        <v>80</v>
      </c>
      <c r="H132" s="6" t="s">
        <v>88</v>
      </c>
      <c r="I132" s="6" t="s">
        <v>94</v>
      </c>
      <c r="J132" s="6" t="s">
        <v>102</v>
      </c>
      <c r="K132" s="6" t="s">
        <v>91</v>
      </c>
      <c r="L132" s="6">
        <v>2</v>
      </c>
      <c r="M132" s="6">
        <v>1766.42</v>
      </c>
      <c r="N132" s="13">
        <f t="shared" si="10"/>
        <v>3532.84</v>
      </c>
      <c r="O132" s="6">
        <v>10</v>
      </c>
      <c r="P132" s="6">
        <f t="shared" si="11"/>
        <v>353.28400000000005</v>
      </c>
      <c r="Q132" s="6">
        <f t="shared" si="12"/>
        <v>3179.556</v>
      </c>
      <c r="R132" s="6" t="str">
        <f t="shared" si="13"/>
        <v>Low Sale</v>
      </c>
      <c r="S132" s="6" t="str" cm="1">
        <f t="array" ref="S132">_xlfn.IFS(L132&gt;5,"High",L132=5,"Medium",L132&lt;5,"Low")</f>
        <v>Low</v>
      </c>
      <c r="T132" s="6" t="str">
        <f t="shared" si="14"/>
        <v>Low</v>
      </c>
    </row>
    <row r="133" spans="1:20" x14ac:dyDescent="0.25">
      <c r="A133" s="6">
        <v>10142</v>
      </c>
      <c r="B133" s="6">
        <v>1138</v>
      </c>
      <c r="C133" s="11">
        <v>45114</v>
      </c>
      <c r="D133" s="11">
        <v>45123</v>
      </c>
      <c r="E133" s="6" t="s">
        <v>79</v>
      </c>
      <c r="F133" s="6" t="s">
        <v>101</v>
      </c>
      <c r="G133" s="6" t="s">
        <v>80</v>
      </c>
      <c r="H133" s="6" t="s">
        <v>105</v>
      </c>
      <c r="I133" s="6" t="s">
        <v>112</v>
      </c>
      <c r="J133" s="6" t="s">
        <v>114</v>
      </c>
      <c r="K133" s="6" t="s">
        <v>96</v>
      </c>
      <c r="L133" s="6">
        <v>1</v>
      </c>
      <c r="M133" s="6">
        <v>2063.0500000000002</v>
      </c>
      <c r="N133" s="13">
        <f t="shared" si="10"/>
        <v>2063.0500000000002</v>
      </c>
      <c r="O133" s="6">
        <v>0</v>
      </c>
      <c r="P133" s="6">
        <f t="shared" si="11"/>
        <v>0</v>
      </c>
      <c r="Q133" s="6">
        <f t="shared" si="12"/>
        <v>2063.0500000000002</v>
      </c>
      <c r="R133" s="6" t="str">
        <f t="shared" si="13"/>
        <v>Low Sale</v>
      </c>
      <c r="S133" s="6" t="str" cm="1">
        <f t="array" ref="S133">_xlfn.IFS(L133&gt;5,"High",L133=5,"Medium",L133&lt;5,"Low")</f>
        <v>Low</v>
      </c>
      <c r="T133" s="6" t="str">
        <f t="shared" si="14"/>
        <v>Low</v>
      </c>
    </row>
    <row r="134" spans="1:20" x14ac:dyDescent="0.25">
      <c r="A134" s="6">
        <v>10143</v>
      </c>
      <c r="B134" s="6">
        <v>1498</v>
      </c>
      <c r="C134" s="11">
        <v>44986</v>
      </c>
      <c r="D134" s="11">
        <v>44993</v>
      </c>
      <c r="E134" s="6" t="s">
        <v>100</v>
      </c>
      <c r="F134" s="6" t="s">
        <v>117</v>
      </c>
      <c r="G134" s="6" t="s">
        <v>93</v>
      </c>
      <c r="H134" s="6" t="s">
        <v>88</v>
      </c>
      <c r="I134" s="6" t="s">
        <v>120</v>
      </c>
      <c r="J134" s="6" t="s">
        <v>121</v>
      </c>
      <c r="K134" s="6" t="s">
        <v>84</v>
      </c>
      <c r="L134" s="6">
        <v>7</v>
      </c>
      <c r="M134" s="6">
        <v>3680.23</v>
      </c>
      <c r="N134" s="13">
        <f t="shared" si="10"/>
        <v>25761.61</v>
      </c>
      <c r="O134" s="6">
        <v>5</v>
      </c>
      <c r="P134" s="6">
        <f t="shared" si="11"/>
        <v>1288.0805</v>
      </c>
      <c r="Q134" s="6">
        <f t="shared" si="12"/>
        <v>24473.529500000001</v>
      </c>
      <c r="R134" s="6" t="str">
        <f t="shared" si="13"/>
        <v>High Sale</v>
      </c>
      <c r="S134" s="6" t="str" cm="1">
        <f t="array" ref="S134">_xlfn.IFS(L134&gt;5,"High",L134=5,"Medium",L134&lt;5,"Low")</f>
        <v>High</v>
      </c>
      <c r="T134" s="6" t="str">
        <f t="shared" si="14"/>
        <v>High</v>
      </c>
    </row>
    <row r="135" spans="1:20" x14ac:dyDescent="0.25">
      <c r="A135" s="6">
        <v>10144</v>
      </c>
      <c r="B135" s="6">
        <v>1592</v>
      </c>
      <c r="C135" s="11">
        <v>45231</v>
      </c>
      <c r="D135" s="11">
        <v>45234</v>
      </c>
      <c r="E135" s="6" t="s">
        <v>103</v>
      </c>
      <c r="F135" s="6" t="s">
        <v>117</v>
      </c>
      <c r="G135" s="6" t="s">
        <v>93</v>
      </c>
      <c r="H135" s="6" t="s">
        <v>81</v>
      </c>
      <c r="I135" s="6" t="s">
        <v>82</v>
      </c>
      <c r="J135" s="6" t="s">
        <v>118</v>
      </c>
      <c r="K135" s="6" t="s">
        <v>96</v>
      </c>
      <c r="L135" s="6">
        <v>8</v>
      </c>
      <c r="M135" s="6">
        <v>3138.72</v>
      </c>
      <c r="N135" s="13">
        <f t="shared" si="10"/>
        <v>25109.759999999998</v>
      </c>
      <c r="O135" s="6">
        <v>20</v>
      </c>
      <c r="P135" s="6">
        <f t="shared" si="11"/>
        <v>5021.9520000000002</v>
      </c>
      <c r="Q135" s="6">
        <f t="shared" si="12"/>
        <v>20087.807999999997</v>
      </c>
      <c r="R135" s="6" t="str">
        <f t="shared" si="13"/>
        <v>High Sale</v>
      </c>
      <c r="S135" s="6" t="str" cm="1">
        <f t="array" ref="S135">_xlfn.IFS(L135&gt;5,"High",L135=5,"Medium",L135&lt;5,"Low")</f>
        <v>High</v>
      </c>
      <c r="T135" s="6" t="str">
        <f t="shared" si="14"/>
        <v>High</v>
      </c>
    </row>
    <row r="136" spans="1:20" x14ac:dyDescent="0.25">
      <c r="A136" s="6">
        <v>10145</v>
      </c>
      <c r="B136" s="6">
        <v>1391</v>
      </c>
      <c r="C136" s="11">
        <v>45245</v>
      </c>
      <c r="D136" s="11">
        <v>45246</v>
      </c>
      <c r="E136" s="6" t="s">
        <v>100</v>
      </c>
      <c r="F136" s="6" t="s">
        <v>101</v>
      </c>
      <c r="G136" s="6" t="s">
        <v>87</v>
      </c>
      <c r="H136" s="6" t="s">
        <v>98</v>
      </c>
      <c r="I136" s="6" t="s">
        <v>120</v>
      </c>
      <c r="J136" s="6" t="s">
        <v>122</v>
      </c>
      <c r="K136" s="6" t="s">
        <v>110</v>
      </c>
      <c r="L136" s="6">
        <v>6</v>
      </c>
      <c r="M136" s="6">
        <v>652.42999999999995</v>
      </c>
      <c r="N136" s="13">
        <f t="shared" si="10"/>
        <v>3914.58</v>
      </c>
      <c r="O136" s="6">
        <v>10</v>
      </c>
      <c r="P136" s="6">
        <f t="shared" si="11"/>
        <v>391.45800000000003</v>
      </c>
      <c r="Q136" s="6">
        <f t="shared" si="12"/>
        <v>3523.1219999999998</v>
      </c>
      <c r="R136" s="6" t="str">
        <f t="shared" si="13"/>
        <v>High Sale</v>
      </c>
      <c r="S136" s="6" t="str" cm="1">
        <f t="array" ref="S136">_xlfn.IFS(L136&gt;5,"High",L136=5,"Medium",L136&lt;5,"Low")</f>
        <v>High</v>
      </c>
      <c r="T136" s="6" t="str">
        <f t="shared" si="14"/>
        <v>High</v>
      </c>
    </row>
    <row r="137" spans="1:20" x14ac:dyDescent="0.25">
      <c r="A137" s="6">
        <v>10146</v>
      </c>
      <c r="B137" s="6">
        <v>1674</v>
      </c>
      <c r="C137" s="11">
        <v>45137</v>
      </c>
      <c r="D137" s="11">
        <v>45145</v>
      </c>
      <c r="E137" s="6" t="s">
        <v>103</v>
      </c>
      <c r="F137" s="6" t="s">
        <v>104</v>
      </c>
      <c r="G137" s="6" t="s">
        <v>93</v>
      </c>
      <c r="H137" s="6" t="s">
        <v>105</v>
      </c>
      <c r="I137" s="6" t="s">
        <v>120</v>
      </c>
      <c r="J137" s="6" t="s">
        <v>125</v>
      </c>
      <c r="K137" s="6" t="s">
        <v>96</v>
      </c>
      <c r="L137" s="6">
        <v>4</v>
      </c>
      <c r="M137" s="6">
        <v>2326.87</v>
      </c>
      <c r="N137" s="13">
        <f t="shared" si="10"/>
        <v>9307.48</v>
      </c>
      <c r="O137" s="6">
        <v>15</v>
      </c>
      <c r="P137" s="6">
        <f t="shared" si="11"/>
        <v>1396.1219999999998</v>
      </c>
      <c r="Q137" s="6">
        <f t="shared" si="12"/>
        <v>7911.3580000000002</v>
      </c>
      <c r="R137" s="6" t="str">
        <f t="shared" si="13"/>
        <v>Low Sale</v>
      </c>
      <c r="S137" s="6" t="str" cm="1">
        <f t="array" ref="S137">_xlfn.IFS(L137&gt;5,"High",L137=5,"Medium",L137&lt;5,"Low")</f>
        <v>Low</v>
      </c>
      <c r="T137" s="6" t="str">
        <f t="shared" si="14"/>
        <v>Low</v>
      </c>
    </row>
    <row r="138" spans="1:20" x14ac:dyDescent="0.25">
      <c r="A138" s="6">
        <v>10147</v>
      </c>
      <c r="B138" s="6">
        <v>1418</v>
      </c>
      <c r="C138" s="11">
        <v>45078</v>
      </c>
      <c r="D138" s="11">
        <v>45081</v>
      </c>
      <c r="E138" s="6" t="s">
        <v>85</v>
      </c>
      <c r="F138" s="6" t="s">
        <v>117</v>
      </c>
      <c r="G138" s="6" t="s">
        <v>87</v>
      </c>
      <c r="H138" s="6" t="s">
        <v>88</v>
      </c>
      <c r="I138" s="6" t="s">
        <v>94</v>
      </c>
      <c r="J138" s="6" t="s">
        <v>111</v>
      </c>
      <c r="K138" s="6" t="s">
        <v>84</v>
      </c>
      <c r="L138" s="6">
        <v>6</v>
      </c>
      <c r="M138" s="6">
        <v>1852.67</v>
      </c>
      <c r="N138" s="13">
        <f t="shared" si="10"/>
        <v>11116.02</v>
      </c>
      <c r="O138" s="6">
        <v>5</v>
      </c>
      <c r="P138" s="6">
        <f t="shared" si="11"/>
        <v>555.80100000000004</v>
      </c>
      <c r="Q138" s="6">
        <f t="shared" si="12"/>
        <v>10560.219000000001</v>
      </c>
      <c r="R138" s="6" t="str">
        <f t="shared" si="13"/>
        <v>High Sale</v>
      </c>
      <c r="S138" s="6" t="str" cm="1">
        <f t="array" ref="S138">_xlfn.IFS(L138&gt;5,"High",L138=5,"Medium",L138&lt;5,"Low")</f>
        <v>High</v>
      </c>
      <c r="T138" s="6" t="str">
        <f t="shared" si="14"/>
        <v>High</v>
      </c>
    </row>
    <row r="139" spans="1:20" x14ac:dyDescent="0.25">
      <c r="A139" s="6">
        <v>10148</v>
      </c>
      <c r="B139" s="6">
        <v>1288</v>
      </c>
      <c r="C139" s="11">
        <v>45035</v>
      </c>
      <c r="D139" s="11">
        <v>45043</v>
      </c>
      <c r="E139" s="6" t="s">
        <v>97</v>
      </c>
      <c r="F139" s="6" t="s">
        <v>92</v>
      </c>
      <c r="G139" s="6" t="s">
        <v>93</v>
      </c>
      <c r="H139" s="6" t="s">
        <v>107</v>
      </c>
      <c r="I139" s="6" t="s">
        <v>82</v>
      </c>
      <c r="J139" s="6" t="s">
        <v>83</v>
      </c>
      <c r="K139" s="6" t="s">
        <v>110</v>
      </c>
      <c r="L139" s="6">
        <v>3</v>
      </c>
      <c r="M139" s="6">
        <v>3219.26</v>
      </c>
      <c r="N139" s="13">
        <f t="shared" si="10"/>
        <v>9657.7800000000007</v>
      </c>
      <c r="O139" s="6">
        <v>10</v>
      </c>
      <c r="P139" s="6">
        <f t="shared" si="11"/>
        <v>965.77800000000013</v>
      </c>
      <c r="Q139" s="6">
        <f t="shared" si="12"/>
        <v>8692.0020000000004</v>
      </c>
      <c r="R139" s="6" t="str">
        <f t="shared" si="13"/>
        <v>Low Sale</v>
      </c>
      <c r="S139" s="6" t="str" cm="1">
        <f t="array" ref="S139">_xlfn.IFS(L139&gt;5,"High",L139=5,"Medium",L139&lt;5,"Low")</f>
        <v>Low</v>
      </c>
      <c r="T139" s="6" t="str">
        <f t="shared" si="14"/>
        <v>Low</v>
      </c>
    </row>
    <row r="140" spans="1:20" x14ac:dyDescent="0.25">
      <c r="A140" s="6">
        <v>10149</v>
      </c>
      <c r="B140" s="6">
        <v>1378</v>
      </c>
      <c r="C140" s="11">
        <v>45002</v>
      </c>
      <c r="D140" s="11">
        <v>45010</v>
      </c>
      <c r="E140" s="6" t="s">
        <v>85</v>
      </c>
      <c r="F140" s="6" t="s">
        <v>86</v>
      </c>
      <c r="G140" s="6" t="s">
        <v>93</v>
      </c>
      <c r="H140" s="6" t="s">
        <v>105</v>
      </c>
      <c r="I140" s="6" t="s">
        <v>120</v>
      </c>
      <c r="J140" s="6" t="s">
        <v>125</v>
      </c>
      <c r="K140" s="6" t="s">
        <v>96</v>
      </c>
      <c r="L140" s="6">
        <v>8</v>
      </c>
      <c r="M140" s="6">
        <v>2938.3</v>
      </c>
      <c r="N140" s="13">
        <f t="shared" si="10"/>
        <v>23506.400000000001</v>
      </c>
      <c r="O140" s="6">
        <v>15</v>
      </c>
      <c r="P140" s="6">
        <f t="shared" si="11"/>
        <v>3525.96</v>
      </c>
      <c r="Q140" s="6">
        <f t="shared" si="12"/>
        <v>19980.440000000002</v>
      </c>
      <c r="R140" s="6" t="str">
        <f t="shared" si="13"/>
        <v>High Sale</v>
      </c>
      <c r="S140" s="6" t="str" cm="1">
        <f t="array" ref="S140">_xlfn.IFS(L140&gt;5,"High",L140=5,"Medium",L140&lt;5,"Low")</f>
        <v>High</v>
      </c>
      <c r="T140" s="6" t="str">
        <f t="shared" si="14"/>
        <v>High</v>
      </c>
    </row>
    <row r="141" spans="1:20" x14ac:dyDescent="0.25">
      <c r="A141" s="6">
        <v>10150</v>
      </c>
      <c r="B141" s="6">
        <v>1772</v>
      </c>
      <c r="C141" s="11">
        <v>44956</v>
      </c>
      <c r="D141" s="11">
        <v>44961</v>
      </c>
      <c r="E141" s="6" t="s">
        <v>85</v>
      </c>
      <c r="F141" s="6" t="s">
        <v>117</v>
      </c>
      <c r="G141" s="6" t="s">
        <v>87</v>
      </c>
      <c r="H141" s="6" t="s">
        <v>81</v>
      </c>
      <c r="I141" s="6" t="s">
        <v>112</v>
      </c>
      <c r="J141" s="6" t="s">
        <v>114</v>
      </c>
      <c r="K141" s="6" t="s">
        <v>91</v>
      </c>
      <c r="L141" s="6">
        <v>2</v>
      </c>
      <c r="M141" s="6">
        <v>2808.06</v>
      </c>
      <c r="N141" s="13">
        <f t="shared" si="10"/>
        <v>5616.12</v>
      </c>
      <c r="O141" s="6">
        <v>0</v>
      </c>
      <c r="P141" s="6">
        <f t="shared" si="11"/>
        <v>0</v>
      </c>
      <c r="Q141" s="6">
        <f t="shared" si="12"/>
        <v>5616.12</v>
      </c>
      <c r="R141" s="6" t="str">
        <f t="shared" si="13"/>
        <v>Low Sale</v>
      </c>
      <c r="S141" s="6" t="str" cm="1">
        <f t="array" ref="S141">_xlfn.IFS(L141&gt;5,"High",L141=5,"Medium",L141&lt;5,"Low")</f>
        <v>Low</v>
      </c>
      <c r="T141" s="6" t="str">
        <f t="shared" si="14"/>
        <v>Low</v>
      </c>
    </row>
    <row r="142" spans="1:20" x14ac:dyDescent="0.25">
      <c r="A142" s="6">
        <v>10151</v>
      </c>
      <c r="B142" s="6">
        <v>1489</v>
      </c>
      <c r="C142" s="11">
        <v>45240</v>
      </c>
      <c r="D142" s="11">
        <v>45241</v>
      </c>
      <c r="E142" s="6" t="s">
        <v>97</v>
      </c>
      <c r="F142" s="6" t="s">
        <v>92</v>
      </c>
      <c r="G142" s="6" t="s">
        <v>93</v>
      </c>
      <c r="H142" s="6" t="s">
        <v>81</v>
      </c>
      <c r="I142" s="6" t="s">
        <v>112</v>
      </c>
      <c r="J142" s="6" t="s">
        <v>126</v>
      </c>
      <c r="K142" s="6" t="s">
        <v>110</v>
      </c>
      <c r="L142" s="6">
        <v>5</v>
      </c>
      <c r="M142" s="6">
        <v>1461.1</v>
      </c>
      <c r="N142" s="13">
        <f t="shared" si="10"/>
        <v>7305.5</v>
      </c>
      <c r="O142" s="6">
        <v>15</v>
      </c>
      <c r="P142" s="6">
        <f t="shared" si="11"/>
        <v>1095.825</v>
      </c>
      <c r="Q142" s="6">
        <f t="shared" si="12"/>
        <v>6209.6750000000002</v>
      </c>
      <c r="R142" s="6" t="str">
        <f t="shared" si="13"/>
        <v>High Sale</v>
      </c>
      <c r="S142" s="6" t="str" cm="1">
        <f t="array" ref="S142">_xlfn.IFS(L142&gt;5,"High",L142=5,"Medium",L142&lt;5,"Low")</f>
        <v>Medium</v>
      </c>
      <c r="T142" s="6" t="str">
        <f t="shared" si="14"/>
        <v>Medium</v>
      </c>
    </row>
    <row r="143" spans="1:20" x14ac:dyDescent="0.25">
      <c r="A143" s="6">
        <v>10152</v>
      </c>
      <c r="B143" s="6">
        <v>1230</v>
      </c>
      <c r="C143" s="11">
        <v>45043</v>
      </c>
      <c r="D143" s="11">
        <v>45050</v>
      </c>
      <c r="E143" s="6" t="s">
        <v>100</v>
      </c>
      <c r="F143" s="6" t="s">
        <v>79</v>
      </c>
      <c r="G143" s="6" t="s">
        <v>87</v>
      </c>
      <c r="H143" s="6" t="s">
        <v>107</v>
      </c>
      <c r="I143" s="6" t="s">
        <v>115</v>
      </c>
      <c r="J143" s="6" t="s">
        <v>119</v>
      </c>
      <c r="K143" s="6" t="s">
        <v>110</v>
      </c>
      <c r="L143" s="6">
        <v>1</v>
      </c>
      <c r="M143" s="6">
        <v>3249.11</v>
      </c>
      <c r="N143" s="13">
        <f t="shared" si="10"/>
        <v>3249.11</v>
      </c>
      <c r="O143" s="6">
        <v>10</v>
      </c>
      <c r="P143" s="6">
        <f t="shared" si="11"/>
        <v>324.91100000000006</v>
      </c>
      <c r="Q143" s="6">
        <f t="shared" si="12"/>
        <v>2924.1990000000001</v>
      </c>
      <c r="R143" s="6" t="str">
        <f t="shared" si="13"/>
        <v>Low Sale</v>
      </c>
      <c r="S143" s="6" t="str" cm="1">
        <f t="array" ref="S143">_xlfn.IFS(L143&gt;5,"High",L143=5,"Medium",L143&lt;5,"Low")</f>
        <v>Low</v>
      </c>
      <c r="T143" s="6" t="str">
        <f t="shared" si="14"/>
        <v>Low</v>
      </c>
    </row>
    <row r="144" spans="1:20" x14ac:dyDescent="0.25">
      <c r="A144" s="6">
        <v>10154</v>
      </c>
      <c r="B144" s="6">
        <v>1027</v>
      </c>
      <c r="C144" s="11">
        <v>45118</v>
      </c>
      <c r="D144" s="11">
        <v>45126</v>
      </c>
      <c r="E144" s="6" t="s">
        <v>103</v>
      </c>
      <c r="F144" s="6" t="s">
        <v>86</v>
      </c>
      <c r="G144" s="6" t="s">
        <v>80</v>
      </c>
      <c r="H144" s="6" t="s">
        <v>105</v>
      </c>
      <c r="I144" s="6" t="s">
        <v>82</v>
      </c>
      <c r="J144" s="6" t="s">
        <v>106</v>
      </c>
      <c r="K144" s="6" t="s">
        <v>108</v>
      </c>
      <c r="L144" s="6">
        <v>2</v>
      </c>
      <c r="M144" s="6">
        <v>764.56</v>
      </c>
      <c r="N144" s="13">
        <f t="shared" si="10"/>
        <v>1529.12</v>
      </c>
      <c r="O144" s="6">
        <v>0</v>
      </c>
      <c r="P144" s="6">
        <f t="shared" si="11"/>
        <v>0</v>
      </c>
      <c r="Q144" s="6">
        <f t="shared" si="12"/>
        <v>1529.12</v>
      </c>
      <c r="R144" s="6" t="str">
        <f t="shared" si="13"/>
        <v>Low Sale</v>
      </c>
      <c r="S144" s="6" t="str" cm="1">
        <f t="array" ref="S144">_xlfn.IFS(L144&gt;5,"High",L144=5,"Medium",L144&lt;5,"Low")</f>
        <v>Low</v>
      </c>
      <c r="T144" s="6" t="str">
        <f t="shared" si="14"/>
        <v>Low</v>
      </c>
    </row>
    <row r="145" spans="1:20" x14ac:dyDescent="0.25">
      <c r="A145" s="6">
        <v>10155</v>
      </c>
      <c r="B145" s="6">
        <v>1134</v>
      </c>
      <c r="C145" s="11">
        <v>44945</v>
      </c>
      <c r="D145" s="11">
        <v>44954</v>
      </c>
      <c r="E145" s="6" t="s">
        <v>79</v>
      </c>
      <c r="F145" s="6" t="s">
        <v>92</v>
      </c>
      <c r="G145" s="6" t="s">
        <v>93</v>
      </c>
      <c r="H145" s="6" t="s">
        <v>88</v>
      </c>
      <c r="I145" s="6" t="s">
        <v>115</v>
      </c>
      <c r="J145" s="6" t="s">
        <v>119</v>
      </c>
      <c r="K145" s="6" t="s">
        <v>84</v>
      </c>
      <c r="L145" s="6">
        <v>4</v>
      </c>
      <c r="M145" s="6">
        <v>1442.15</v>
      </c>
      <c r="N145" s="13">
        <f t="shared" si="10"/>
        <v>5768.6</v>
      </c>
      <c r="O145" s="6">
        <v>15</v>
      </c>
      <c r="P145" s="6">
        <f t="shared" si="11"/>
        <v>865.29000000000008</v>
      </c>
      <c r="Q145" s="6">
        <f t="shared" si="12"/>
        <v>4903.3100000000004</v>
      </c>
      <c r="R145" s="6" t="str">
        <f t="shared" si="13"/>
        <v>Low Sale</v>
      </c>
      <c r="S145" s="6" t="str" cm="1">
        <f t="array" ref="S145">_xlfn.IFS(L145&gt;5,"High",L145=5,"Medium",L145&lt;5,"Low")</f>
        <v>Low</v>
      </c>
      <c r="T145" s="6" t="str">
        <f t="shared" si="14"/>
        <v>Low</v>
      </c>
    </row>
    <row r="146" spans="1:20" x14ac:dyDescent="0.25">
      <c r="A146" s="6">
        <v>10156</v>
      </c>
      <c r="B146" s="6">
        <v>1200</v>
      </c>
      <c r="C146" s="11">
        <v>45099</v>
      </c>
      <c r="D146" s="11">
        <v>45106</v>
      </c>
      <c r="E146" s="6" t="s">
        <v>103</v>
      </c>
      <c r="F146" s="6" t="s">
        <v>101</v>
      </c>
      <c r="G146" s="6" t="s">
        <v>87</v>
      </c>
      <c r="H146" s="6" t="s">
        <v>81</v>
      </c>
      <c r="I146" s="6" t="s">
        <v>120</v>
      </c>
      <c r="J146" s="6" t="s">
        <v>122</v>
      </c>
      <c r="K146" s="6" t="s">
        <v>108</v>
      </c>
      <c r="L146" s="6">
        <v>6</v>
      </c>
      <c r="M146" s="6">
        <v>445.71</v>
      </c>
      <c r="N146" s="13">
        <f t="shared" si="10"/>
        <v>2674.2599999999998</v>
      </c>
      <c r="O146" s="6">
        <v>15</v>
      </c>
      <c r="P146" s="6">
        <f t="shared" si="11"/>
        <v>401.13899999999995</v>
      </c>
      <c r="Q146" s="6">
        <f t="shared" si="12"/>
        <v>2273.1209999999996</v>
      </c>
      <c r="R146" s="6" t="str">
        <f t="shared" si="13"/>
        <v>High Sale</v>
      </c>
      <c r="S146" s="6" t="str" cm="1">
        <f t="array" ref="S146">_xlfn.IFS(L146&gt;5,"High",L146=5,"Medium",L146&lt;5,"Low")</f>
        <v>High</v>
      </c>
      <c r="T146" s="6" t="str">
        <f t="shared" si="14"/>
        <v>High</v>
      </c>
    </row>
    <row r="147" spans="1:20" x14ac:dyDescent="0.25">
      <c r="A147" s="6">
        <v>10157</v>
      </c>
      <c r="B147" s="6">
        <v>1839</v>
      </c>
      <c r="C147" s="11">
        <v>45154</v>
      </c>
      <c r="D147" s="11">
        <v>45161</v>
      </c>
      <c r="E147" s="6" t="s">
        <v>79</v>
      </c>
      <c r="F147" s="6" t="s">
        <v>86</v>
      </c>
      <c r="G147" s="6" t="s">
        <v>93</v>
      </c>
      <c r="H147" s="6" t="s">
        <v>88</v>
      </c>
      <c r="I147" s="6" t="s">
        <v>82</v>
      </c>
      <c r="J147" s="6" t="s">
        <v>83</v>
      </c>
      <c r="K147" s="6" t="s">
        <v>96</v>
      </c>
      <c r="L147" s="6">
        <v>8</v>
      </c>
      <c r="M147" s="6">
        <v>1054.73</v>
      </c>
      <c r="N147" s="13">
        <f t="shared" si="10"/>
        <v>8437.84</v>
      </c>
      <c r="O147" s="6">
        <v>0</v>
      </c>
      <c r="P147" s="6">
        <f t="shared" si="11"/>
        <v>0</v>
      </c>
      <c r="Q147" s="6">
        <f t="shared" si="12"/>
        <v>8437.84</v>
      </c>
      <c r="R147" s="6" t="str">
        <f t="shared" si="13"/>
        <v>High Sale</v>
      </c>
      <c r="S147" s="6" t="str" cm="1">
        <f t="array" ref="S147">_xlfn.IFS(L147&gt;5,"High",L147=5,"Medium",L147&lt;5,"Low")</f>
        <v>High</v>
      </c>
      <c r="T147" s="6" t="str">
        <f t="shared" si="14"/>
        <v>High</v>
      </c>
    </row>
    <row r="148" spans="1:20" x14ac:dyDescent="0.25">
      <c r="A148" s="6">
        <v>10158</v>
      </c>
      <c r="B148" s="6">
        <v>1779</v>
      </c>
      <c r="C148" s="11">
        <v>45276</v>
      </c>
      <c r="D148" s="11">
        <v>45277</v>
      </c>
      <c r="E148" s="6" t="s">
        <v>85</v>
      </c>
      <c r="F148" s="6" t="s">
        <v>104</v>
      </c>
      <c r="G148" s="6" t="s">
        <v>87</v>
      </c>
      <c r="H148" s="6" t="s">
        <v>81</v>
      </c>
      <c r="I148" s="6" t="s">
        <v>112</v>
      </c>
      <c r="J148" s="6" t="s">
        <v>126</v>
      </c>
      <c r="K148" s="6" t="s">
        <v>91</v>
      </c>
      <c r="L148" s="6">
        <v>8</v>
      </c>
      <c r="M148" s="6">
        <v>3346.08</v>
      </c>
      <c r="N148" s="13">
        <f t="shared" si="10"/>
        <v>26768.639999999999</v>
      </c>
      <c r="O148" s="6">
        <v>15</v>
      </c>
      <c r="P148" s="6">
        <f t="shared" si="11"/>
        <v>4015.2959999999998</v>
      </c>
      <c r="Q148" s="6">
        <f t="shared" si="12"/>
        <v>22753.344000000001</v>
      </c>
      <c r="R148" s="6" t="str">
        <f t="shared" si="13"/>
        <v>High Sale</v>
      </c>
      <c r="S148" s="6" t="str" cm="1">
        <f t="array" ref="S148">_xlfn.IFS(L148&gt;5,"High",L148=5,"Medium",L148&lt;5,"Low")</f>
        <v>High</v>
      </c>
      <c r="T148" s="6" t="str">
        <f t="shared" si="14"/>
        <v>High</v>
      </c>
    </row>
    <row r="149" spans="1:20" x14ac:dyDescent="0.25">
      <c r="A149" s="6">
        <v>10159</v>
      </c>
      <c r="B149" s="6">
        <v>1929</v>
      </c>
      <c r="C149" s="11">
        <v>45109</v>
      </c>
      <c r="D149" s="11">
        <v>45113</v>
      </c>
      <c r="E149" s="6" t="s">
        <v>97</v>
      </c>
      <c r="F149" s="6" t="s">
        <v>79</v>
      </c>
      <c r="G149" s="6" t="s">
        <v>87</v>
      </c>
      <c r="H149" s="6" t="s">
        <v>88</v>
      </c>
      <c r="I149" s="6" t="s">
        <v>112</v>
      </c>
      <c r="J149" s="6" t="s">
        <v>130</v>
      </c>
      <c r="K149" s="6" t="s">
        <v>108</v>
      </c>
      <c r="L149" s="6">
        <v>6</v>
      </c>
      <c r="M149" s="6">
        <v>3800.77</v>
      </c>
      <c r="N149" s="13">
        <f t="shared" si="10"/>
        <v>22804.62</v>
      </c>
      <c r="O149" s="6">
        <v>0</v>
      </c>
      <c r="P149" s="6">
        <f t="shared" si="11"/>
        <v>0</v>
      </c>
      <c r="Q149" s="6">
        <f t="shared" si="12"/>
        <v>22804.62</v>
      </c>
      <c r="R149" s="6" t="str">
        <f t="shared" si="13"/>
        <v>High Sale</v>
      </c>
      <c r="S149" s="6" t="str" cm="1">
        <f t="array" ref="S149">_xlfn.IFS(L149&gt;5,"High",L149=5,"Medium",L149&lt;5,"Low")</f>
        <v>High</v>
      </c>
      <c r="T149" s="6" t="str">
        <f t="shared" si="14"/>
        <v>High</v>
      </c>
    </row>
    <row r="150" spans="1:20" x14ac:dyDescent="0.25">
      <c r="A150" s="6">
        <v>10160</v>
      </c>
      <c r="B150" s="6">
        <v>1032</v>
      </c>
      <c r="C150" s="11">
        <v>45039</v>
      </c>
      <c r="D150" s="11">
        <v>45041</v>
      </c>
      <c r="E150" s="6" t="s">
        <v>85</v>
      </c>
      <c r="F150" s="6" t="s">
        <v>101</v>
      </c>
      <c r="G150" s="6" t="s">
        <v>80</v>
      </c>
      <c r="H150" s="6" t="s">
        <v>107</v>
      </c>
      <c r="I150" s="6" t="s">
        <v>94</v>
      </c>
      <c r="J150" s="6" t="s">
        <v>111</v>
      </c>
      <c r="K150" s="6" t="s">
        <v>110</v>
      </c>
      <c r="L150" s="6">
        <v>4</v>
      </c>
      <c r="M150" s="6">
        <v>1322.72</v>
      </c>
      <c r="N150" s="13">
        <f t="shared" si="10"/>
        <v>5290.88</v>
      </c>
      <c r="O150" s="6">
        <v>5</v>
      </c>
      <c r="P150" s="6">
        <f t="shared" si="11"/>
        <v>264.54400000000004</v>
      </c>
      <c r="Q150" s="6">
        <f t="shared" si="12"/>
        <v>5026.3360000000002</v>
      </c>
      <c r="R150" s="6" t="str">
        <f t="shared" si="13"/>
        <v>Low Sale</v>
      </c>
      <c r="S150" s="6" t="str" cm="1">
        <f t="array" ref="S150">_xlfn.IFS(L150&gt;5,"High",L150=5,"Medium",L150&lt;5,"Low")</f>
        <v>Low</v>
      </c>
      <c r="T150" s="6" t="str">
        <f t="shared" si="14"/>
        <v>Low</v>
      </c>
    </row>
    <row r="151" spans="1:20" x14ac:dyDescent="0.25">
      <c r="A151" s="6">
        <v>10161</v>
      </c>
      <c r="B151" s="6">
        <v>1047</v>
      </c>
      <c r="C151" s="11">
        <v>45109</v>
      </c>
      <c r="D151" s="11">
        <v>45111</v>
      </c>
      <c r="E151" s="6" t="s">
        <v>109</v>
      </c>
      <c r="F151" s="6" t="s">
        <v>104</v>
      </c>
      <c r="G151" s="6" t="s">
        <v>80</v>
      </c>
      <c r="H151" s="6" t="s">
        <v>98</v>
      </c>
      <c r="I151" s="6" t="s">
        <v>82</v>
      </c>
      <c r="J151" s="6" t="s">
        <v>83</v>
      </c>
      <c r="K151" s="6" t="s">
        <v>96</v>
      </c>
      <c r="L151" s="6">
        <v>8</v>
      </c>
      <c r="M151" s="6">
        <v>1168.3900000000001</v>
      </c>
      <c r="N151" s="13">
        <f t="shared" si="10"/>
        <v>9347.1200000000008</v>
      </c>
      <c r="O151" s="6">
        <v>10</v>
      </c>
      <c r="P151" s="6">
        <f t="shared" si="11"/>
        <v>934.7120000000001</v>
      </c>
      <c r="Q151" s="6">
        <f t="shared" si="12"/>
        <v>8412.4080000000013</v>
      </c>
      <c r="R151" s="6" t="str">
        <f t="shared" si="13"/>
        <v>High Sale</v>
      </c>
      <c r="S151" s="6" t="str" cm="1">
        <f t="array" ref="S151">_xlfn.IFS(L151&gt;5,"High",L151=5,"Medium",L151&lt;5,"Low")</f>
        <v>High</v>
      </c>
      <c r="T151" s="6" t="str">
        <f t="shared" si="14"/>
        <v>High</v>
      </c>
    </row>
    <row r="152" spans="1:20" x14ac:dyDescent="0.25">
      <c r="A152" s="6">
        <v>10162</v>
      </c>
      <c r="B152" s="6">
        <v>1502</v>
      </c>
      <c r="C152" s="11">
        <v>45072</v>
      </c>
      <c r="D152" s="11">
        <v>45074</v>
      </c>
      <c r="E152" s="6" t="s">
        <v>100</v>
      </c>
      <c r="F152" s="6" t="s">
        <v>92</v>
      </c>
      <c r="G152" s="6" t="s">
        <v>87</v>
      </c>
      <c r="H152" s="6" t="s">
        <v>107</v>
      </c>
      <c r="I152" s="6" t="s">
        <v>120</v>
      </c>
      <c r="J152" s="6" t="s">
        <v>121</v>
      </c>
      <c r="K152" s="6" t="s">
        <v>96</v>
      </c>
      <c r="L152" s="6">
        <v>8</v>
      </c>
      <c r="M152" s="6">
        <v>1227.5899999999999</v>
      </c>
      <c r="N152" s="13">
        <f t="shared" si="10"/>
        <v>9820.7199999999993</v>
      </c>
      <c r="O152" s="6">
        <v>5</v>
      </c>
      <c r="P152" s="6">
        <f t="shared" si="11"/>
        <v>491.036</v>
      </c>
      <c r="Q152" s="6">
        <f t="shared" si="12"/>
        <v>9329.6839999999993</v>
      </c>
      <c r="R152" s="6" t="str">
        <f t="shared" si="13"/>
        <v>High Sale</v>
      </c>
      <c r="S152" s="6" t="str" cm="1">
        <f t="array" ref="S152">_xlfn.IFS(L152&gt;5,"High",L152=5,"Medium",L152&lt;5,"Low")</f>
        <v>High</v>
      </c>
      <c r="T152" s="6" t="str">
        <f t="shared" si="14"/>
        <v>High</v>
      </c>
    </row>
    <row r="153" spans="1:20" x14ac:dyDescent="0.25">
      <c r="A153" s="6">
        <v>10163</v>
      </c>
      <c r="B153" s="6">
        <v>1406</v>
      </c>
      <c r="C153" s="11">
        <v>45245</v>
      </c>
      <c r="D153" s="11">
        <v>45249</v>
      </c>
      <c r="E153" s="6" t="s">
        <v>79</v>
      </c>
      <c r="F153" s="6" t="s">
        <v>86</v>
      </c>
      <c r="G153" s="6" t="s">
        <v>93</v>
      </c>
      <c r="H153" s="6" t="s">
        <v>107</v>
      </c>
      <c r="I153" s="6" t="s">
        <v>115</v>
      </c>
      <c r="J153" s="6" t="s">
        <v>116</v>
      </c>
      <c r="K153" s="6" t="s">
        <v>108</v>
      </c>
      <c r="L153" s="6">
        <v>1</v>
      </c>
      <c r="M153" s="6">
        <v>1219.22</v>
      </c>
      <c r="N153" s="13">
        <f t="shared" si="10"/>
        <v>1219.22</v>
      </c>
      <c r="O153" s="6">
        <v>20</v>
      </c>
      <c r="P153" s="6">
        <f t="shared" si="11"/>
        <v>243.84400000000002</v>
      </c>
      <c r="Q153" s="6">
        <f t="shared" si="12"/>
        <v>975.37599999999998</v>
      </c>
      <c r="R153" s="6" t="str">
        <f t="shared" si="13"/>
        <v>Low Sale</v>
      </c>
      <c r="S153" s="6" t="str" cm="1">
        <f t="array" ref="S153">_xlfn.IFS(L153&gt;5,"High",L153=5,"Medium",L153&lt;5,"Low")</f>
        <v>Low</v>
      </c>
      <c r="T153" s="6" t="str">
        <f t="shared" si="14"/>
        <v>Low</v>
      </c>
    </row>
    <row r="154" spans="1:20" x14ac:dyDescent="0.25">
      <c r="A154" s="6">
        <v>10164</v>
      </c>
      <c r="B154" s="6">
        <v>1573</v>
      </c>
      <c r="C154" s="11">
        <v>45042</v>
      </c>
      <c r="D154" s="11">
        <v>45043</v>
      </c>
      <c r="E154" s="6" t="s">
        <v>103</v>
      </c>
      <c r="F154" s="6" t="s">
        <v>79</v>
      </c>
      <c r="G154" s="6" t="s">
        <v>87</v>
      </c>
      <c r="H154" s="6" t="s">
        <v>98</v>
      </c>
      <c r="I154" s="6" t="s">
        <v>115</v>
      </c>
      <c r="J154" s="6" t="s">
        <v>127</v>
      </c>
      <c r="K154" s="6" t="s">
        <v>108</v>
      </c>
      <c r="L154" s="6">
        <v>4</v>
      </c>
      <c r="M154" s="6">
        <v>288.33</v>
      </c>
      <c r="N154" s="13">
        <f t="shared" si="10"/>
        <v>1153.32</v>
      </c>
      <c r="O154" s="6">
        <v>20</v>
      </c>
      <c r="P154" s="6">
        <f t="shared" si="11"/>
        <v>230.66399999999999</v>
      </c>
      <c r="Q154" s="6">
        <f t="shared" si="12"/>
        <v>922.65599999999995</v>
      </c>
      <c r="R154" s="6" t="str">
        <f t="shared" si="13"/>
        <v>Low Sale</v>
      </c>
      <c r="S154" s="6" t="str" cm="1">
        <f t="array" ref="S154">_xlfn.IFS(L154&gt;5,"High",L154=5,"Medium",L154&lt;5,"Low")</f>
        <v>Low</v>
      </c>
      <c r="T154" s="6" t="str">
        <f t="shared" si="14"/>
        <v>Low</v>
      </c>
    </row>
    <row r="155" spans="1:20" x14ac:dyDescent="0.25">
      <c r="A155" s="6">
        <v>10165</v>
      </c>
      <c r="B155" s="6">
        <v>1727</v>
      </c>
      <c r="C155" s="11">
        <v>45039</v>
      </c>
      <c r="D155" s="11">
        <v>45043</v>
      </c>
      <c r="E155" s="6" t="s">
        <v>97</v>
      </c>
      <c r="F155" s="6" t="s">
        <v>101</v>
      </c>
      <c r="G155" s="6" t="s">
        <v>87</v>
      </c>
      <c r="H155" s="6" t="s">
        <v>98</v>
      </c>
      <c r="I155" s="6" t="s">
        <v>120</v>
      </c>
      <c r="J155" s="6" t="s">
        <v>125</v>
      </c>
      <c r="K155" s="6" t="s">
        <v>91</v>
      </c>
      <c r="L155" s="6">
        <v>4</v>
      </c>
      <c r="M155" s="6">
        <v>3718.63</v>
      </c>
      <c r="N155" s="13">
        <f t="shared" si="10"/>
        <v>14874.52</v>
      </c>
      <c r="O155" s="6">
        <v>20</v>
      </c>
      <c r="P155" s="6">
        <f t="shared" si="11"/>
        <v>2974.9040000000005</v>
      </c>
      <c r="Q155" s="6">
        <f t="shared" si="12"/>
        <v>11899.616</v>
      </c>
      <c r="R155" s="6" t="str">
        <f t="shared" si="13"/>
        <v>Low Sale</v>
      </c>
      <c r="S155" s="6" t="str" cm="1">
        <f t="array" ref="S155">_xlfn.IFS(L155&gt;5,"High",L155=5,"Medium",L155&lt;5,"Low")</f>
        <v>Low</v>
      </c>
      <c r="T155" s="6" t="str">
        <f t="shared" si="14"/>
        <v>Low</v>
      </c>
    </row>
    <row r="156" spans="1:20" x14ac:dyDescent="0.25">
      <c r="A156" s="6">
        <v>10166</v>
      </c>
      <c r="B156" s="6">
        <v>1804</v>
      </c>
      <c r="C156" s="11">
        <v>45177</v>
      </c>
      <c r="D156" s="11">
        <v>45179</v>
      </c>
      <c r="E156" s="6" t="s">
        <v>79</v>
      </c>
      <c r="F156" s="6" t="s">
        <v>104</v>
      </c>
      <c r="G156" s="6" t="s">
        <v>93</v>
      </c>
      <c r="H156" s="6" t="s">
        <v>105</v>
      </c>
      <c r="I156" s="6" t="s">
        <v>89</v>
      </c>
      <c r="J156" s="6" t="s">
        <v>90</v>
      </c>
      <c r="K156" s="6" t="s">
        <v>84</v>
      </c>
      <c r="L156" s="6">
        <v>7</v>
      </c>
      <c r="M156" s="6">
        <v>972.74</v>
      </c>
      <c r="N156" s="13">
        <f t="shared" si="10"/>
        <v>6809.18</v>
      </c>
      <c r="O156" s="6">
        <v>0</v>
      </c>
      <c r="P156" s="6">
        <f t="shared" si="11"/>
        <v>0</v>
      </c>
      <c r="Q156" s="6">
        <f t="shared" si="12"/>
        <v>6809.18</v>
      </c>
      <c r="R156" s="6" t="str">
        <f t="shared" si="13"/>
        <v>High Sale</v>
      </c>
      <c r="S156" s="6" t="str" cm="1">
        <f t="array" ref="S156">_xlfn.IFS(L156&gt;5,"High",L156=5,"Medium",L156&lt;5,"Low")</f>
        <v>High</v>
      </c>
      <c r="T156" s="6" t="str">
        <f t="shared" si="14"/>
        <v>High</v>
      </c>
    </row>
    <row r="157" spans="1:20" x14ac:dyDescent="0.25">
      <c r="A157" s="6">
        <v>10167</v>
      </c>
      <c r="B157" s="6">
        <v>1098</v>
      </c>
      <c r="C157" s="11">
        <v>45177</v>
      </c>
      <c r="D157" s="11">
        <v>45182</v>
      </c>
      <c r="E157" s="6" t="s">
        <v>103</v>
      </c>
      <c r="F157" s="6" t="s">
        <v>104</v>
      </c>
      <c r="G157" s="6" t="s">
        <v>93</v>
      </c>
      <c r="H157" s="6" t="s">
        <v>105</v>
      </c>
      <c r="I157" s="6" t="s">
        <v>94</v>
      </c>
      <c r="J157" s="6" t="s">
        <v>95</v>
      </c>
      <c r="K157" s="6" t="s">
        <v>108</v>
      </c>
      <c r="L157" s="6">
        <v>7</v>
      </c>
      <c r="M157" s="6">
        <v>1767.02</v>
      </c>
      <c r="N157" s="13">
        <f t="shared" si="10"/>
        <v>12369.14</v>
      </c>
      <c r="O157" s="6">
        <v>15</v>
      </c>
      <c r="P157" s="6">
        <f t="shared" si="11"/>
        <v>1855.3709999999999</v>
      </c>
      <c r="Q157" s="6">
        <f t="shared" si="12"/>
        <v>10513.769</v>
      </c>
      <c r="R157" s="6" t="str">
        <f t="shared" si="13"/>
        <v>High Sale</v>
      </c>
      <c r="S157" s="6" t="str" cm="1">
        <f t="array" ref="S157">_xlfn.IFS(L157&gt;5,"High",L157=5,"Medium",L157&lt;5,"Low")</f>
        <v>High</v>
      </c>
      <c r="T157" s="6" t="str">
        <f t="shared" si="14"/>
        <v>High</v>
      </c>
    </row>
    <row r="158" spans="1:20" x14ac:dyDescent="0.25">
      <c r="A158" s="6">
        <v>10168</v>
      </c>
      <c r="B158" s="6">
        <v>1683</v>
      </c>
      <c r="C158" s="11">
        <v>45229</v>
      </c>
      <c r="D158" s="11">
        <v>45232</v>
      </c>
      <c r="E158" s="6" t="s">
        <v>100</v>
      </c>
      <c r="F158" s="6" t="s">
        <v>79</v>
      </c>
      <c r="G158" s="6" t="s">
        <v>93</v>
      </c>
      <c r="H158" s="6" t="s">
        <v>107</v>
      </c>
      <c r="I158" s="6" t="s">
        <v>115</v>
      </c>
      <c r="J158" s="6" t="s">
        <v>119</v>
      </c>
      <c r="K158" s="6" t="s">
        <v>108</v>
      </c>
      <c r="L158" s="6">
        <v>8</v>
      </c>
      <c r="M158" s="6">
        <v>187.29</v>
      </c>
      <c r="N158" s="13">
        <f t="shared" si="10"/>
        <v>1498.32</v>
      </c>
      <c r="O158" s="6">
        <v>5</v>
      </c>
      <c r="P158" s="6">
        <f t="shared" si="11"/>
        <v>74.915999999999997</v>
      </c>
      <c r="Q158" s="6">
        <f t="shared" si="12"/>
        <v>1423.404</v>
      </c>
      <c r="R158" s="6" t="str">
        <f t="shared" si="13"/>
        <v>High Sale</v>
      </c>
      <c r="S158" s="6" t="str" cm="1">
        <f t="array" ref="S158">_xlfn.IFS(L158&gt;5,"High",L158=5,"Medium",L158&lt;5,"Low")</f>
        <v>High</v>
      </c>
      <c r="T158" s="6" t="str">
        <f t="shared" si="14"/>
        <v>High</v>
      </c>
    </row>
    <row r="159" spans="1:20" x14ac:dyDescent="0.25">
      <c r="A159" s="6">
        <v>10170</v>
      </c>
      <c r="B159" s="6">
        <v>1725</v>
      </c>
      <c r="C159" s="11">
        <v>45044</v>
      </c>
      <c r="D159" s="11">
        <v>45048</v>
      </c>
      <c r="E159" s="6" t="s">
        <v>100</v>
      </c>
      <c r="F159" s="6" t="s">
        <v>79</v>
      </c>
      <c r="G159" s="6" t="s">
        <v>87</v>
      </c>
      <c r="H159" s="6" t="s">
        <v>81</v>
      </c>
      <c r="I159" s="6" t="s">
        <v>94</v>
      </c>
      <c r="J159" s="6" t="s">
        <v>128</v>
      </c>
      <c r="K159" s="6" t="s">
        <v>96</v>
      </c>
      <c r="L159" s="6">
        <v>7</v>
      </c>
      <c r="M159" s="6">
        <v>2964.96</v>
      </c>
      <c r="N159" s="13">
        <f t="shared" si="10"/>
        <v>20754.72</v>
      </c>
      <c r="O159" s="6">
        <v>5</v>
      </c>
      <c r="P159" s="6">
        <f t="shared" si="11"/>
        <v>1037.7360000000001</v>
      </c>
      <c r="Q159" s="6">
        <f t="shared" si="12"/>
        <v>19716.984</v>
      </c>
      <c r="R159" s="6" t="str">
        <f t="shared" si="13"/>
        <v>High Sale</v>
      </c>
      <c r="S159" s="6" t="str" cm="1">
        <f t="array" ref="S159">_xlfn.IFS(L159&gt;5,"High",L159=5,"Medium",L159&lt;5,"Low")</f>
        <v>High</v>
      </c>
      <c r="T159" s="6" t="str">
        <f t="shared" si="14"/>
        <v>High</v>
      </c>
    </row>
    <row r="160" spans="1:20" x14ac:dyDescent="0.25">
      <c r="A160" s="6">
        <v>10171</v>
      </c>
      <c r="B160" s="6">
        <v>1986</v>
      </c>
      <c r="C160" s="11">
        <v>45227</v>
      </c>
      <c r="D160" s="11">
        <v>45228</v>
      </c>
      <c r="E160" s="6" t="s">
        <v>78</v>
      </c>
      <c r="F160" s="6" t="s">
        <v>104</v>
      </c>
      <c r="G160" s="6" t="s">
        <v>87</v>
      </c>
      <c r="H160" s="6" t="s">
        <v>81</v>
      </c>
      <c r="I160" s="6" t="s">
        <v>82</v>
      </c>
      <c r="J160" s="6" t="s">
        <v>106</v>
      </c>
      <c r="K160" s="6" t="s">
        <v>84</v>
      </c>
      <c r="L160" s="6">
        <v>8</v>
      </c>
      <c r="M160" s="6">
        <v>3795.01</v>
      </c>
      <c r="N160" s="13">
        <f t="shared" si="10"/>
        <v>30360.080000000002</v>
      </c>
      <c r="O160" s="6">
        <v>5</v>
      </c>
      <c r="P160" s="6">
        <f t="shared" si="11"/>
        <v>1518.0040000000001</v>
      </c>
      <c r="Q160" s="6">
        <f t="shared" si="12"/>
        <v>28842.076000000001</v>
      </c>
      <c r="R160" s="6" t="str">
        <f t="shared" si="13"/>
        <v>High Sale</v>
      </c>
      <c r="S160" s="6" t="str" cm="1">
        <f t="array" ref="S160">_xlfn.IFS(L160&gt;5,"High",L160=5,"Medium",L160&lt;5,"Low")</f>
        <v>High</v>
      </c>
      <c r="T160" s="6" t="str">
        <f t="shared" si="14"/>
        <v>High</v>
      </c>
    </row>
    <row r="161" spans="1:20" x14ac:dyDescent="0.25">
      <c r="A161" s="6">
        <v>10172</v>
      </c>
      <c r="B161" s="6">
        <v>1546</v>
      </c>
      <c r="C161" s="11">
        <v>45087</v>
      </c>
      <c r="D161" s="11">
        <v>45088</v>
      </c>
      <c r="E161" s="6" t="s">
        <v>109</v>
      </c>
      <c r="F161" s="6" t="s">
        <v>117</v>
      </c>
      <c r="G161" s="6" t="s">
        <v>80</v>
      </c>
      <c r="H161" s="6" t="s">
        <v>105</v>
      </c>
      <c r="I161" s="6" t="s">
        <v>112</v>
      </c>
      <c r="J161" s="6" t="s">
        <v>126</v>
      </c>
      <c r="K161" s="6" t="s">
        <v>110</v>
      </c>
      <c r="L161" s="6">
        <v>9</v>
      </c>
      <c r="M161" s="6">
        <v>3159.22</v>
      </c>
      <c r="N161" s="13">
        <f t="shared" si="10"/>
        <v>28432.98</v>
      </c>
      <c r="O161" s="6">
        <v>20</v>
      </c>
      <c r="P161" s="6">
        <f t="shared" si="11"/>
        <v>5686.5960000000005</v>
      </c>
      <c r="Q161" s="6">
        <f t="shared" si="12"/>
        <v>22746.383999999998</v>
      </c>
      <c r="R161" s="6" t="str">
        <f t="shared" si="13"/>
        <v>High Sale</v>
      </c>
      <c r="S161" s="6" t="str" cm="1">
        <f t="array" ref="S161">_xlfn.IFS(L161&gt;5,"High",L161=5,"Medium",L161&lt;5,"Low")</f>
        <v>High</v>
      </c>
      <c r="T161" s="6" t="str">
        <f t="shared" si="14"/>
        <v>High</v>
      </c>
    </row>
    <row r="162" spans="1:20" x14ac:dyDescent="0.25">
      <c r="A162" s="6">
        <v>10173</v>
      </c>
      <c r="B162" s="6">
        <v>1960</v>
      </c>
      <c r="C162" s="11">
        <v>45124</v>
      </c>
      <c r="D162" s="11">
        <v>45127</v>
      </c>
      <c r="E162" s="6" t="s">
        <v>78</v>
      </c>
      <c r="F162" s="6" t="s">
        <v>101</v>
      </c>
      <c r="G162" s="6" t="s">
        <v>87</v>
      </c>
      <c r="H162" s="6" t="s">
        <v>105</v>
      </c>
      <c r="I162" s="6" t="s">
        <v>94</v>
      </c>
      <c r="J162" s="6" t="s">
        <v>128</v>
      </c>
      <c r="K162" s="6" t="s">
        <v>91</v>
      </c>
      <c r="L162" s="6">
        <v>3</v>
      </c>
      <c r="M162" s="6">
        <v>1357.77</v>
      </c>
      <c r="N162" s="13">
        <f t="shared" si="10"/>
        <v>4073.31</v>
      </c>
      <c r="O162" s="6">
        <v>5</v>
      </c>
      <c r="P162" s="6">
        <f t="shared" si="11"/>
        <v>203.66550000000001</v>
      </c>
      <c r="Q162" s="6">
        <f t="shared" si="12"/>
        <v>3869.6444999999999</v>
      </c>
      <c r="R162" s="6" t="str">
        <f t="shared" si="13"/>
        <v>Low Sale</v>
      </c>
      <c r="S162" s="6" t="str" cm="1">
        <f t="array" ref="S162">_xlfn.IFS(L162&gt;5,"High",L162=5,"Medium",L162&lt;5,"Low")</f>
        <v>Low</v>
      </c>
      <c r="T162" s="6" t="str">
        <f t="shared" si="14"/>
        <v>Low</v>
      </c>
    </row>
    <row r="163" spans="1:20" x14ac:dyDescent="0.25">
      <c r="A163" s="6">
        <v>10174</v>
      </c>
      <c r="B163" s="6">
        <v>1738</v>
      </c>
      <c r="C163" s="11">
        <v>45186</v>
      </c>
      <c r="D163" s="11">
        <v>45195</v>
      </c>
      <c r="E163" s="6" t="s">
        <v>97</v>
      </c>
      <c r="F163" s="6" t="s">
        <v>79</v>
      </c>
      <c r="G163" s="6" t="s">
        <v>93</v>
      </c>
      <c r="H163" s="6" t="s">
        <v>81</v>
      </c>
      <c r="I163" s="6" t="s">
        <v>115</v>
      </c>
      <c r="J163" s="6" t="s">
        <v>116</v>
      </c>
      <c r="K163" s="6" t="s">
        <v>91</v>
      </c>
      <c r="L163" s="6">
        <v>3</v>
      </c>
      <c r="M163" s="6">
        <v>1104.31</v>
      </c>
      <c r="N163" s="13">
        <f t="shared" si="10"/>
        <v>3312.93</v>
      </c>
      <c r="O163" s="6">
        <v>15</v>
      </c>
      <c r="P163" s="6">
        <f t="shared" si="11"/>
        <v>496.93949999999995</v>
      </c>
      <c r="Q163" s="6">
        <f t="shared" si="12"/>
        <v>2815.9904999999999</v>
      </c>
      <c r="R163" s="6" t="str">
        <f t="shared" si="13"/>
        <v>Low Sale</v>
      </c>
      <c r="S163" s="6" t="str" cm="1">
        <f t="array" ref="S163">_xlfn.IFS(L163&gt;5,"High",L163=5,"Medium",L163&lt;5,"Low")</f>
        <v>Low</v>
      </c>
      <c r="T163" s="6" t="str">
        <f t="shared" si="14"/>
        <v>Low</v>
      </c>
    </row>
    <row r="164" spans="1:20" x14ac:dyDescent="0.25">
      <c r="A164" s="6">
        <v>10175</v>
      </c>
      <c r="B164" s="6">
        <v>1612</v>
      </c>
      <c r="C164" s="11">
        <v>45074</v>
      </c>
      <c r="D164" s="11">
        <v>45081</v>
      </c>
      <c r="E164" s="6" t="s">
        <v>79</v>
      </c>
      <c r="F164" s="6" t="s">
        <v>104</v>
      </c>
      <c r="G164" s="6" t="s">
        <v>80</v>
      </c>
      <c r="H164" s="6" t="s">
        <v>81</v>
      </c>
      <c r="I164" s="6" t="s">
        <v>94</v>
      </c>
      <c r="J164" s="6" t="s">
        <v>95</v>
      </c>
      <c r="K164" s="6" t="s">
        <v>108</v>
      </c>
      <c r="L164" s="6">
        <v>4</v>
      </c>
      <c r="M164" s="6">
        <v>2836.21</v>
      </c>
      <c r="N164" s="13">
        <f t="shared" si="10"/>
        <v>11344.84</v>
      </c>
      <c r="O164" s="6">
        <v>20</v>
      </c>
      <c r="P164" s="6">
        <f t="shared" si="11"/>
        <v>2268.9680000000003</v>
      </c>
      <c r="Q164" s="6">
        <f t="shared" si="12"/>
        <v>9075.8719999999994</v>
      </c>
      <c r="R164" s="6" t="str">
        <f t="shared" si="13"/>
        <v>Low Sale</v>
      </c>
      <c r="S164" s="6" t="str" cm="1">
        <f t="array" ref="S164">_xlfn.IFS(L164&gt;5,"High",L164=5,"Medium",L164&lt;5,"Low")</f>
        <v>Low</v>
      </c>
      <c r="T164" s="6" t="str">
        <f t="shared" si="14"/>
        <v>Low</v>
      </c>
    </row>
    <row r="165" spans="1:20" x14ac:dyDescent="0.25">
      <c r="A165" s="6">
        <v>10178</v>
      </c>
      <c r="B165" s="6">
        <v>1642</v>
      </c>
      <c r="C165" s="11">
        <v>45124</v>
      </c>
      <c r="D165" s="11">
        <v>45126</v>
      </c>
      <c r="E165" s="6" t="s">
        <v>103</v>
      </c>
      <c r="F165" s="6" t="s">
        <v>92</v>
      </c>
      <c r="G165" s="6" t="s">
        <v>80</v>
      </c>
      <c r="H165" s="6" t="s">
        <v>81</v>
      </c>
      <c r="I165" s="6" t="s">
        <v>89</v>
      </c>
      <c r="J165" s="6" t="s">
        <v>124</v>
      </c>
      <c r="K165" s="6" t="s">
        <v>108</v>
      </c>
      <c r="L165" s="6">
        <v>7</v>
      </c>
      <c r="M165" s="6">
        <v>174.09</v>
      </c>
      <c r="N165" s="13">
        <f t="shared" si="10"/>
        <v>1218.6300000000001</v>
      </c>
      <c r="O165" s="6">
        <v>10</v>
      </c>
      <c r="P165" s="6">
        <f t="shared" si="11"/>
        <v>121.86300000000001</v>
      </c>
      <c r="Q165" s="6">
        <f t="shared" si="12"/>
        <v>1096.7670000000001</v>
      </c>
      <c r="R165" s="6" t="str">
        <f t="shared" si="13"/>
        <v>High Sale</v>
      </c>
      <c r="S165" s="6" t="str" cm="1">
        <f t="array" ref="S165">_xlfn.IFS(L165&gt;5,"High",L165=5,"Medium",L165&lt;5,"Low")</f>
        <v>High</v>
      </c>
      <c r="T165" s="6" t="str">
        <f t="shared" si="14"/>
        <v>High</v>
      </c>
    </row>
    <row r="166" spans="1:20" x14ac:dyDescent="0.25">
      <c r="A166" s="6">
        <v>10179</v>
      </c>
      <c r="B166" s="6">
        <v>1768</v>
      </c>
      <c r="C166" s="11">
        <v>44973</v>
      </c>
      <c r="D166" s="11">
        <v>44976</v>
      </c>
      <c r="E166" s="6" t="s">
        <v>100</v>
      </c>
      <c r="F166" s="6" t="s">
        <v>79</v>
      </c>
      <c r="G166" s="6" t="s">
        <v>93</v>
      </c>
      <c r="H166" s="6" t="s">
        <v>88</v>
      </c>
      <c r="I166" s="6" t="s">
        <v>94</v>
      </c>
      <c r="J166" s="6" t="s">
        <v>95</v>
      </c>
      <c r="K166" s="6" t="s">
        <v>84</v>
      </c>
      <c r="L166" s="6">
        <v>9</v>
      </c>
      <c r="M166" s="6">
        <v>388.26</v>
      </c>
      <c r="N166" s="13">
        <f t="shared" si="10"/>
        <v>3494.34</v>
      </c>
      <c r="O166" s="6">
        <v>10</v>
      </c>
      <c r="P166" s="6">
        <f t="shared" si="11"/>
        <v>349.43400000000003</v>
      </c>
      <c r="Q166" s="6">
        <f t="shared" si="12"/>
        <v>3144.9059999999999</v>
      </c>
      <c r="R166" s="6" t="str">
        <f t="shared" si="13"/>
        <v>High Sale</v>
      </c>
      <c r="S166" s="6" t="str" cm="1">
        <f t="array" ref="S166">_xlfn.IFS(L166&gt;5,"High",L166=5,"Medium",L166&lt;5,"Low")</f>
        <v>High</v>
      </c>
      <c r="T166" s="6" t="str">
        <f t="shared" si="14"/>
        <v>High</v>
      </c>
    </row>
    <row r="167" spans="1:20" x14ac:dyDescent="0.25">
      <c r="A167" s="6">
        <v>10180</v>
      </c>
      <c r="B167" s="6">
        <v>1004</v>
      </c>
      <c r="C167" s="11">
        <v>45004</v>
      </c>
      <c r="D167" s="11">
        <v>45006</v>
      </c>
      <c r="E167" s="6" t="s">
        <v>78</v>
      </c>
      <c r="F167" s="6" t="s">
        <v>92</v>
      </c>
      <c r="G167" s="6" t="s">
        <v>80</v>
      </c>
      <c r="H167" s="6" t="s">
        <v>98</v>
      </c>
      <c r="I167" s="6" t="s">
        <v>82</v>
      </c>
      <c r="J167" s="6" t="s">
        <v>106</v>
      </c>
      <c r="K167" s="6" t="s">
        <v>108</v>
      </c>
      <c r="L167" s="6">
        <v>8</v>
      </c>
      <c r="M167" s="6">
        <v>2211.17</v>
      </c>
      <c r="N167" s="13">
        <f t="shared" si="10"/>
        <v>17689.36</v>
      </c>
      <c r="O167" s="6">
        <v>10</v>
      </c>
      <c r="P167" s="6">
        <f t="shared" si="11"/>
        <v>1768.9360000000001</v>
      </c>
      <c r="Q167" s="6">
        <f t="shared" si="12"/>
        <v>15920.424000000001</v>
      </c>
      <c r="R167" s="6" t="str">
        <f t="shared" si="13"/>
        <v>High Sale</v>
      </c>
      <c r="S167" s="6" t="str" cm="1">
        <f t="array" ref="S167">_xlfn.IFS(L167&gt;5,"High",L167=5,"Medium",L167&lt;5,"Low")</f>
        <v>High</v>
      </c>
      <c r="T167" s="6" t="str">
        <f t="shared" si="14"/>
        <v>High</v>
      </c>
    </row>
    <row r="168" spans="1:20" x14ac:dyDescent="0.25">
      <c r="A168" s="6">
        <v>10181</v>
      </c>
      <c r="B168" s="6">
        <v>1217</v>
      </c>
      <c r="C168" s="11">
        <v>45050</v>
      </c>
      <c r="D168" s="11">
        <v>45053</v>
      </c>
      <c r="E168" s="6" t="s">
        <v>78</v>
      </c>
      <c r="F168" s="6" t="s">
        <v>86</v>
      </c>
      <c r="G168" s="6" t="s">
        <v>80</v>
      </c>
      <c r="H168" s="6" t="s">
        <v>105</v>
      </c>
      <c r="I168" s="6" t="s">
        <v>112</v>
      </c>
      <c r="J168" s="6" t="s">
        <v>113</v>
      </c>
      <c r="K168" s="6" t="s">
        <v>96</v>
      </c>
      <c r="L168" s="6">
        <v>5</v>
      </c>
      <c r="M168" s="6">
        <v>2329.38</v>
      </c>
      <c r="N168" s="13">
        <f t="shared" si="10"/>
        <v>11646.900000000001</v>
      </c>
      <c r="O168" s="6">
        <v>20</v>
      </c>
      <c r="P168" s="6">
        <f t="shared" si="11"/>
        <v>2329.3800000000006</v>
      </c>
      <c r="Q168" s="6">
        <f t="shared" si="12"/>
        <v>9317.52</v>
      </c>
      <c r="R168" s="6" t="str">
        <f t="shared" si="13"/>
        <v>High Sale</v>
      </c>
      <c r="S168" s="6" t="str" cm="1">
        <f t="array" ref="S168">_xlfn.IFS(L168&gt;5,"High",L168=5,"Medium",L168&lt;5,"Low")</f>
        <v>Medium</v>
      </c>
      <c r="T168" s="6" t="str">
        <f t="shared" si="14"/>
        <v>Medium</v>
      </c>
    </row>
    <row r="169" spans="1:20" x14ac:dyDescent="0.25">
      <c r="A169" s="6">
        <v>10183</v>
      </c>
      <c r="B169" s="6">
        <v>1766</v>
      </c>
      <c r="C169" s="11">
        <v>45285</v>
      </c>
      <c r="D169" s="11">
        <v>45294</v>
      </c>
      <c r="E169" s="6" t="s">
        <v>78</v>
      </c>
      <c r="F169" s="6" t="s">
        <v>86</v>
      </c>
      <c r="G169" s="6" t="s">
        <v>93</v>
      </c>
      <c r="H169" s="6" t="s">
        <v>81</v>
      </c>
      <c r="I169" s="6" t="s">
        <v>94</v>
      </c>
      <c r="J169" s="6" t="s">
        <v>102</v>
      </c>
      <c r="K169" s="6" t="s">
        <v>110</v>
      </c>
      <c r="L169" s="6">
        <v>7</v>
      </c>
      <c r="M169" s="6">
        <v>658.07</v>
      </c>
      <c r="N169" s="13">
        <f t="shared" si="10"/>
        <v>4606.4900000000007</v>
      </c>
      <c r="O169" s="6">
        <v>20</v>
      </c>
      <c r="P169" s="6">
        <f t="shared" si="11"/>
        <v>921.29800000000023</v>
      </c>
      <c r="Q169" s="6">
        <f t="shared" si="12"/>
        <v>3685.1920000000005</v>
      </c>
      <c r="R169" s="6" t="str">
        <f t="shared" si="13"/>
        <v>High Sale</v>
      </c>
      <c r="S169" s="6" t="str" cm="1">
        <f t="array" ref="S169">_xlfn.IFS(L169&gt;5,"High",L169=5,"Medium",L169&lt;5,"Low")</f>
        <v>High</v>
      </c>
      <c r="T169" s="6" t="str">
        <f t="shared" si="14"/>
        <v>High</v>
      </c>
    </row>
    <row r="170" spans="1:20" x14ac:dyDescent="0.25">
      <c r="A170" s="6">
        <v>10184</v>
      </c>
      <c r="B170" s="6">
        <v>1397</v>
      </c>
      <c r="C170" s="11">
        <v>45063</v>
      </c>
      <c r="D170" s="11">
        <v>45072</v>
      </c>
      <c r="E170" s="6" t="s">
        <v>85</v>
      </c>
      <c r="F170" s="6" t="s">
        <v>117</v>
      </c>
      <c r="G170" s="6" t="s">
        <v>80</v>
      </c>
      <c r="H170" s="6" t="s">
        <v>107</v>
      </c>
      <c r="I170" s="6" t="s">
        <v>115</v>
      </c>
      <c r="J170" s="6" t="s">
        <v>127</v>
      </c>
      <c r="K170" s="6" t="s">
        <v>84</v>
      </c>
      <c r="L170" s="6">
        <v>5</v>
      </c>
      <c r="M170" s="6">
        <v>2125.75</v>
      </c>
      <c r="N170" s="13">
        <f t="shared" si="10"/>
        <v>10628.75</v>
      </c>
      <c r="O170" s="6">
        <v>15</v>
      </c>
      <c r="P170" s="6">
        <f t="shared" si="11"/>
        <v>1594.3125</v>
      </c>
      <c r="Q170" s="6">
        <f t="shared" si="12"/>
        <v>9034.4375</v>
      </c>
      <c r="R170" s="6" t="str">
        <f t="shared" si="13"/>
        <v>High Sale</v>
      </c>
      <c r="S170" s="6" t="str" cm="1">
        <f t="array" ref="S170">_xlfn.IFS(L170&gt;5,"High",L170=5,"Medium",L170&lt;5,"Low")</f>
        <v>Medium</v>
      </c>
      <c r="T170" s="6" t="str">
        <f t="shared" si="14"/>
        <v>Medium</v>
      </c>
    </row>
    <row r="171" spans="1:20" x14ac:dyDescent="0.25">
      <c r="A171" s="6">
        <v>10185</v>
      </c>
      <c r="B171" s="6">
        <v>1870</v>
      </c>
      <c r="C171" s="11">
        <v>45016</v>
      </c>
      <c r="D171" s="11">
        <v>45023</v>
      </c>
      <c r="E171" s="6" t="s">
        <v>97</v>
      </c>
      <c r="F171" s="6" t="s">
        <v>79</v>
      </c>
      <c r="G171" s="6" t="s">
        <v>80</v>
      </c>
      <c r="H171" s="6" t="s">
        <v>81</v>
      </c>
      <c r="I171" s="6" t="s">
        <v>94</v>
      </c>
      <c r="J171" s="6" t="s">
        <v>102</v>
      </c>
      <c r="K171" s="6" t="s">
        <v>110</v>
      </c>
      <c r="L171" s="6">
        <v>7</v>
      </c>
      <c r="M171" s="6">
        <v>898.62</v>
      </c>
      <c r="N171" s="13">
        <f t="shared" si="10"/>
        <v>6290.34</v>
      </c>
      <c r="O171" s="6">
        <v>0</v>
      </c>
      <c r="P171" s="6">
        <f t="shared" si="11"/>
        <v>0</v>
      </c>
      <c r="Q171" s="6">
        <f t="shared" si="12"/>
        <v>6290.34</v>
      </c>
      <c r="R171" s="6" t="str">
        <f t="shared" si="13"/>
        <v>High Sale</v>
      </c>
      <c r="S171" s="6" t="str" cm="1">
        <f t="array" ref="S171">_xlfn.IFS(L171&gt;5,"High",L171=5,"Medium",L171&lt;5,"Low")</f>
        <v>High</v>
      </c>
      <c r="T171" s="6" t="str">
        <f t="shared" si="14"/>
        <v>High</v>
      </c>
    </row>
    <row r="172" spans="1:20" x14ac:dyDescent="0.25">
      <c r="A172" s="6">
        <v>10186</v>
      </c>
      <c r="B172" s="6">
        <v>1794</v>
      </c>
      <c r="C172" s="11">
        <v>45251</v>
      </c>
      <c r="D172" s="11">
        <v>45254</v>
      </c>
      <c r="E172" s="6" t="s">
        <v>100</v>
      </c>
      <c r="F172" s="6" t="s">
        <v>104</v>
      </c>
      <c r="G172" s="6" t="s">
        <v>93</v>
      </c>
      <c r="H172" s="6" t="s">
        <v>88</v>
      </c>
      <c r="I172" s="6" t="s">
        <v>115</v>
      </c>
      <c r="J172" s="6" t="s">
        <v>119</v>
      </c>
      <c r="K172" s="6" t="s">
        <v>110</v>
      </c>
      <c r="L172" s="6">
        <v>1</v>
      </c>
      <c r="M172" s="6">
        <v>508.81</v>
      </c>
      <c r="N172" s="13">
        <f t="shared" si="10"/>
        <v>508.81</v>
      </c>
      <c r="O172" s="6">
        <v>0</v>
      </c>
      <c r="P172" s="6">
        <f t="shared" si="11"/>
        <v>0</v>
      </c>
      <c r="Q172" s="6">
        <f t="shared" si="12"/>
        <v>508.81</v>
      </c>
      <c r="R172" s="6" t="str">
        <f t="shared" si="13"/>
        <v>Low Sale</v>
      </c>
      <c r="S172" s="6" t="str" cm="1">
        <f t="array" ref="S172">_xlfn.IFS(L172&gt;5,"High",L172=5,"Medium",L172&lt;5,"Low")</f>
        <v>Low</v>
      </c>
      <c r="T172" s="6" t="str">
        <f t="shared" si="14"/>
        <v>Low</v>
      </c>
    </row>
    <row r="173" spans="1:20" x14ac:dyDescent="0.25">
      <c r="A173" s="6">
        <v>10187</v>
      </c>
      <c r="B173" s="6">
        <v>1392</v>
      </c>
      <c r="C173" s="11">
        <v>44987</v>
      </c>
      <c r="D173" s="11">
        <v>44991</v>
      </c>
      <c r="E173" s="6" t="s">
        <v>79</v>
      </c>
      <c r="F173" s="6" t="s">
        <v>104</v>
      </c>
      <c r="G173" s="6" t="s">
        <v>80</v>
      </c>
      <c r="H173" s="6" t="s">
        <v>107</v>
      </c>
      <c r="I173" s="6" t="s">
        <v>82</v>
      </c>
      <c r="J173" s="6" t="s">
        <v>106</v>
      </c>
      <c r="K173" s="6" t="s">
        <v>96</v>
      </c>
      <c r="L173" s="6">
        <v>1</v>
      </c>
      <c r="M173" s="6">
        <v>1730.41</v>
      </c>
      <c r="N173" s="13">
        <f t="shared" si="10"/>
        <v>1730.41</v>
      </c>
      <c r="O173" s="6">
        <v>10</v>
      </c>
      <c r="P173" s="6">
        <f t="shared" si="11"/>
        <v>173.04100000000003</v>
      </c>
      <c r="Q173" s="6">
        <f t="shared" si="12"/>
        <v>1557.3690000000001</v>
      </c>
      <c r="R173" s="6" t="str">
        <f t="shared" si="13"/>
        <v>Low Sale</v>
      </c>
      <c r="S173" s="6" t="str" cm="1">
        <f t="array" ref="S173">_xlfn.IFS(L173&gt;5,"High",L173=5,"Medium",L173&lt;5,"Low")</f>
        <v>Low</v>
      </c>
      <c r="T173" s="6" t="str">
        <f t="shared" si="14"/>
        <v>Low</v>
      </c>
    </row>
    <row r="174" spans="1:20" x14ac:dyDescent="0.25">
      <c r="A174" s="6">
        <v>10188</v>
      </c>
      <c r="B174" s="6">
        <v>1206</v>
      </c>
      <c r="C174" s="11">
        <v>45064</v>
      </c>
      <c r="D174" s="11">
        <v>45070</v>
      </c>
      <c r="E174" s="6" t="s">
        <v>103</v>
      </c>
      <c r="F174" s="6" t="s">
        <v>117</v>
      </c>
      <c r="G174" s="6" t="s">
        <v>80</v>
      </c>
      <c r="H174" s="6" t="s">
        <v>88</v>
      </c>
      <c r="I174" s="6" t="s">
        <v>115</v>
      </c>
      <c r="J174" s="6" t="s">
        <v>116</v>
      </c>
      <c r="K174" s="6" t="s">
        <v>84</v>
      </c>
      <c r="L174" s="6">
        <v>3</v>
      </c>
      <c r="M174" s="6">
        <v>778.85</v>
      </c>
      <c r="N174" s="13">
        <f t="shared" si="10"/>
        <v>2336.5500000000002</v>
      </c>
      <c r="O174" s="6">
        <v>10</v>
      </c>
      <c r="P174" s="6">
        <f t="shared" si="11"/>
        <v>233.65500000000003</v>
      </c>
      <c r="Q174" s="6">
        <f t="shared" si="12"/>
        <v>2102.895</v>
      </c>
      <c r="R174" s="6" t="str">
        <f t="shared" si="13"/>
        <v>Low Sale</v>
      </c>
      <c r="S174" s="6" t="str" cm="1">
        <f t="array" ref="S174">_xlfn.IFS(L174&gt;5,"High",L174=5,"Medium",L174&lt;5,"Low")</f>
        <v>Low</v>
      </c>
      <c r="T174" s="6" t="str">
        <f t="shared" si="14"/>
        <v>Low</v>
      </c>
    </row>
    <row r="175" spans="1:20" x14ac:dyDescent="0.25">
      <c r="A175" s="6">
        <v>10190</v>
      </c>
      <c r="B175" s="6">
        <v>1857</v>
      </c>
      <c r="C175" s="11">
        <v>45185</v>
      </c>
      <c r="D175" s="11">
        <v>45187</v>
      </c>
      <c r="E175" s="6" t="s">
        <v>97</v>
      </c>
      <c r="F175" s="6" t="s">
        <v>117</v>
      </c>
      <c r="G175" s="6" t="s">
        <v>93</v>
      </c>
      <c r="H175" s="6" t="s">
        <v>88</v>
      </c>
      <c r="I175" s="6" t="s">
        <v>112</v>
      </c>
      <c r="J175" s="6" t="s">
        <v>114</v>
      </c>
      <c r="K175" s="6" t="s">
        <v>84</v>
      </c>
      <c r="L175" s="6">
        <v>2</v>
      </c>
      <c r="M175" s="6">
        <v>1372.59</v>
      </c>
      <c r="N175" s="13">
        <f t="shared" si="10"/>
        <v>2745.18</v>
      </c>
      <c r="O175" s="6">
        <v>5</v>
      </c>
      <c r="P175" s="6">
        <f t="shared" si="11"/>
        <v>137.25899999999999</v>
      </c>
      <c r="Q175" s="6">
        <f t="shared" si="12"/>
        <v>2607.9209999999998</v>
      </c>
      <c r="R175" s="6" t="str">
        <f t="shared" si="13"/>
        <v>Low Sale</v>
      </c>
      <c r="S175" s="6" t="str" cm="1">
        <f t="array" ref="S175">_xlfn.IFS(L175&gt;5,"High",L175=5,"Medium",L175&lt;5,"Low")</f>
        <v>Low</v>
      </c>
      <c r="T175" s="6" t="str">
        <f t="shared" si="14"/>
        <v>Low</v>
      </c>
    </row>
    <row r="176" spans="1:20" x14ac:dyDescent="0.25">
      <c r="A176" s="6">
        <v>10191</v>
      </c>
      <c r="B176" s="6">
        <v>1553</v>
      </c>
      <c r="C176" s="11">
        <v>45033</v>
      </c>
      <c r="D176" s="11">
        <v>45039</v>
      </c>
      <c r="E176" s="6" t="s">
        <v>103</v>
      </c>
      <c r="F176" s="6" t="s">
        <v>92</v>
      </c>
      <c r="G176" s="6" t="s">
        <v>93</v>
      </c>
      <c r="H176" s="6" t="s">
        <v>98</v>
      </c>
      <c r="I176" s="6" t="s">
        <v>115</v>
      </c>
      <c r="J176" s="6" t="s">
        <v>119</v>
      </c>
      <c r="K176" s="6" t="s">
        <v>84</v>
      </c>
      <c r="L176" s="6">
        <v>7</v>
      </c>
      <c r="M176" s="6">
        <v>1148.6500000000001</v>
      </c>
      <c r="N176" s="13">
        <f t="shared" si="10"/>
        <v>8040.5500000000011</v>
      </c>
      <c r="O176" s="6">
        <v>15</v>
      </c>
      <c r="P176" s="6">
        <f t="shared" si="11"/>
        <v>1206.0825000000002</v>
      </c>
      <c r="Q176" s="6">
        <f t="shared" si="12"/>
        <v>6834.4675000000007</v>
      </c>
      <c r="R176" s="6" t="str">
        <f t="shared" si="13"/>
        <v>High Sale</v>
      </c>
      <c r="S176" s="6" t="str" cm="1">
        <f t="array" ref="S176">_xlfn.IFS(L176&gt;5,"High",L176=5,"Medium",L176&lt;5,"Low")</f>
        <v>High</v>
      </c>
      <c r="T176" s="6" t="str">
        <f t="shared" si="14"/>
        <v>High</v>
      </c>
    </row>
    <row r="177" spans="1:20" x14ac:dyDescent="0.25">
      <c r="A177" s="6">
        <v>10192</v>
      </c>
      <c r="B177" s="6">
        <v>1891</v>
      </c>
      <c r="C177" s="11">
        <v>45039</v>
      </c>
      <c r="D177" s="11">
        <v>45042</v>
      </c>
      <c r="E177" s="6" t="s">
        <v>78</v>
      </c>
      <c r="F177" s="6" t="s">
        <v>92</v>
      </c>
      <c r="G177" s="6" t="s">
        <v>93</v>
      </c>
      <c r="H177" s="6" t="s">
        <v>98</v>
      </c>
      <c r="I177" s="6" t="s">
        <v>115</v>
      </c>
      <c r="J177" s="6" t="s">
        <v>123</v>
      </c>
      <c r="K177" s="6" t="s">
        <v>84</v>
      </c>
      <c r="L177" s="6">
        <v>2</v>
      </c>
      <c r="M177" s="6">
        <v>487.23</v>
      </c>
      <c r="N177" s="13">
        <f t="shared" si="10"/>
        <v>974.46</v>
      </c>
      <c r="O177" s="6">
        <v>15</v>
      </c>
      <c r="P177" s="6">
        <f t="shared" si="11"/>
        <v>146.16900000000001</v>
      </c>
      <c r="Q177" s="6">
        <f t="shared" si="12"/>
        <v>828.29100000000005</v>
      </c>
      <c r="R177" s="6" t="str">
        <f t="shared" si="13"/>
        <v>Low Sale</v>
      </c>
      <c r="S177" s="6" t="str" cm="1">
        <f t="array" ref="S177">_xlfn.IFS(L177&gt;5,"High",L177=5,"Medium",L177&lt;5,"Low")</f>
        <v>Low</v>
      </c>
      <c r="T177" s="6" t="str">
        <f t="shared" si="14"/>
        <v>Low</v>
      </c>
    </row>
    <row r="178" spans="1:20" x14ac:dyDescent="0.25">
      <c r="A178" s="6">
        <v>10193</v>
      </c>
      <c r="B178" s="6">
        <v>1460</v>
      </c>
      <c r="C178" s="11">
        <v>45276</v>
      </c>
      <c r="D178" s="11">
        <v>45284</v>
      </c>
      <c r="E178" s="6" t="s">
        <v>109</v>
      </c>
      <c r="F178" s="6" t="s">
        <v>101</v>
      </c>
      <c r="G178" s="6" t="s">
        <v>93</v>
      </c>
      <c r="H178" s="6" t="s">
        <v>88</v>
      </c>
      <c r="I178" s="6" t="s">
        <v>112</v>
      </c>
      <c r="J178" s="6" t="s">
        <v>114</v>
      </c>
      <c r="K178" s="6" t="s">
        <v>96</v>
      </c>
      <c r="L178" s="6">
        <v>4</v>
      </c>
      <c r="M178" s="6">
        <v>496.18</v>
      </c>
      <c r="N178" s="13">
        <f t="shared" si="10"/>
        <v>1984.72</v>
      </c>
      <c r="O178" s="6">
        <v>15</v>
      </c>
      <c r="P178" s="6">
        <f t="shared" si="11"/>
        <v>297.70799999999997</v>
      </c>
      <c r="Q178" s="6">
        <f t="shared" si="12"/>
        <v>1687.0120000000002</v>
      </c>
      <c r="R178" s="6" t="str">
        <f t="shared" si="13"/>
        <v>Low Sale</v>
      </c>
      <c r="S178" s="6" t="str" cm="1">
        <f t="array" ref="S178">_xlfn.IFS(L178&gt;5,"High",L178=5,"Medium",L178&lt;5,"Low")</f>
        <v>Low</v>
      </c>
      <c r="T178" s="6" t="str">
        <f t="shared" si="14"/>
        <v>Low</v>
      </c>
    </row>
    <row r="179" spans="1:20" x14ac:dyDescent="0.25">
      <c r="A179" s="6">
        <v>10194</v>
      </c>
      <c r="B179" s="6">
        <v>1690</v>
      </c>
      <c r="C179" s="11">
        <v>45180</v>
      </c>
      <c r="D179" s="11">
        <v>45182</v>
      </c>
      <c r="E179" s="6" t="s">
        <v>97</v>
      </c>
      <c r="F179" s="6" t="s">
        <v>104</v>
      </c>
      <c r="G179" s="6" t="s">
        <v>87</v>
      </c>
      <c r="H179" s="6" t="s">
        <v>88</v>
      </c>
      <c r="I179" s="6" t="s">
        <v>120</v>
      </c>
      <c r="J179" s="6" t="s">
        <v>122</v>
      </c>
      <c r="K179" s="6" t="s">
        <v>108</v>
      </c>
      <c r="L179" s="6">
        <v>2</v>
      </c>
      <c r="M179" s="6">
        <v>894.01</v>
      </c>
      <c r="N179" s="13">
        <f t="shared" si="10"/>
        <v>1788.02</v>
      </c>
      <c r="O179" s="6">
        <v>15</v>
      </c>
      <c r="P179" s="6">
        <f t="shared" si="11"/>
        <v>268.20299999999997</v>
      </c>
      <c r="Q179" s="6">
        <f t="shared" si="12"/>
        <v>1519.817</v>
      </c>
      <c r="R179" s="6" t="str">
        <f t="shared" si="13"/>
        <v>Low Sale</v>
      </c>
      <c r="S179" s="6" t="str" cm="1">
        <f t="array" ref="S179">_xlfn.IFS(L179&gt;5,"High",L179=5,"Medium",L179&lt;5,"Low")</f>
        <v>Low</v>
      </c>
      <c r="T179" s="6" t="str">
        <f t="shared" si="14"/>
        <v>Low</v>
      </c>
    </row>
    <row r="180" spans="1:20" x14ac:dyDescent="0.25">
      <c r="A180" s="6">
        <v>10195</v>
      </c>
      <c r="B180" s="6">
        <v>1574</v>
      </c>
      <c r="C180" s="11">
        <v>45044</v>
      </c>
      <c r="D180" s="11">
        <v>45045</v>
      </c>
      <c r="E180" s="6" t="s">
        <v>97</v>
      </c>
      <c r="F180" s="6" t="s">
        <v>86</v>
      </c>
      <c r="G180" s="6" t="s">
        <v>80</v>
      </c>
      <c r="H180" s="6" t="s">
        <v>98</v>
      </c>
      <c r="I180" s="6" t="s">
        <v>94</v>
      </c>
      <c r="J180" s="6" t="s">
        <v>128</v>
      </c>
      <c r="K180" s="6" t="s">
        <v>110</v>
      </c>
      <c r="L180" s="6">
        <v>6</v>
      </c>
      <c r="M180" s="6">
        <v>344.65</v>
      </c>
      <c r="N180" s="13">
        <f t="shared" si="10"/>
        <v>2067.8999999999996</v>
      </c>
      <c r="O180" s="6">
        <v>10</v>
      </c>
      <c r="P180" s="6">
        <f t="shared" si="11"/>
        <v>206.78999999999996</v>
      </c>
      <c r="Q180" s="6">
        <f t="shared" si="12"/>
        <v>1861.1099999999997</v>
      </c>
      <c r="R180" s="6" t="str">
        <f t="shared" si="13"/>
        <v>High Sale</v>
      </c>
      <c r="S180" s="6" t="str" cm="1">
        <f t="array" ref="S180">_xlfn.IFS(L180&gt;5,"High",L180=5,"Medium",L180&lt;5,"Low")</f>
        <v>High</v>
      </c>
      <c r="T180" s="6" t="str">
        <f t="shared" si="14"/>
        <v>High</v>
      </c>
    </row>
    <row r="181" spans="1:20" x14ac:dyDescent="0.25">
      <c r="A181" s="6">
        <v>10196</v>
      </c>
      <c r="B181" s="6">
        <v>1863</v>
      </c>
      <c r="C181" s="11">
        <v>45124</v>
      </c>
      <c r="D181" s="11">
        <v>45133</v>
      </c>
      <c r="E181" s="6" t="s">
        <v>100</v>
      </c>
      <c r="F181" s="6" t="s">
        <v>92</v>
      </c>
      <c r="G181" s="6" t="s">
        <v>93</v>
      </c>
      <c r="H181" s="6" t="s">
        <v>107</v>
      </c>
      <c r="I181" s="6" t="s">
        <v>115</v>
      </c>
      <c r="J181" s="6" t="s">
        <v>116</v>
      </c>
      <c r="K181" s="6" t="s">
        <v>84</v>
      </c>
      <c r="L181" s="6">
        <v>8</v>
      </c>
      <c r="M181" s="6">
        <v>2561.86</v>
      </c>
      <c r="N181" s="13">
        <f t="shared" si="10"/>
        <v>20494.88</v>
      </c>
      <c r="O181" s="6">
        <v>0</v>
      </c>
      <c r="P181" s="6">
        <f t="shared" si="11"/>
        <v>0</v>
      </c>
      <c r="Q181" s="6">
        <f t="shared" si="12"/>
        <v>20494.88</v>
      </c>
      <c r="R181" s="6" t="str">
        <f t="shared" si="13"/>
        <v>High Sale</v>
      </c>
      <c r="S181" s="6" t="str" cm="1">
        <f t="array" ref="S181">_xlfn.IFS(L181&gt;5,"High",L181=5,"Medium",L181&lt;5,"Low")</f>
        <v>High</v>
      </c>
      <c r="T181" s="6" t="str">
        <f t="shared" si="14"/>
        <v>High</v>
      </c>
    </row>
    <row r="182" spans="1:20" x14ac:dyDescent="0.25">
      <c r="A182" s="6">
        <v>10197</v>
      </c>
      <c r="B182" s="6">
        <v>1742</v>
      </c>
      <c r="C182" s="11">
        <v>45263</v>
      </c>
      <c r="D182" s="11">
        <v>45266</v>
      </c>
      <c r="E182" s="6" t="s">
        <v>79</v>
      </c>
      <c r="F182" s="6" t="s">
        <v>101</v>
      </c>
      <c r="G182" s="6" t="s">
        <v>80</v>
      </c>
      <c r="H182" s="6" t="s">
        <v>98</v>
      </c>
      <c r="I182" s="6" t="s">
        <v>112</v>
      </c>
      <c r="J182" s="6" t="s">
        <v>130</v>
      </c>
      <c r="K182" s="6" t="s">
        <v>108</v>
      </c>
      <c r="L182" s="6">
        <v>4</v>
      </c>
      <c r="M182" s="6">
        <v>1256.21</v>
      </c>
      <c r="N182" s="13">
        <f t="shared" si="10"/>
        <v>5024.84</v>
      </c>
      <c r="O182" s="6">
        <v>10</v>
      </c>
      <c r="P182" s="6">
        <f t="shared" si="11"/>
        <v>502.48400000000004</v>
      </c>
      <c r="Q182" s="6">
        <f t="shared" si="12"/>
        <v>4522.3559999999998</v>
      </c>
      <c r="R182" s="6" t="str">
        <f t="shared" si="13"/>
        <v>Low Sale</v>
      </c>
      <c r="S182" s="6" t="str" cm="1">
        <f t="array" ref="S182">_xlfn.IFS(L182&gt;5,"High",L182=5,"Medium",L182&lt;5,"Low")</f>
        <v>Low</v>
      </c>
      <c r="T182" s="6" t="str">
        <f t="shared" si="14"/>
        <v>Low</v>
      </c>
    </row>
    <row r="183" spans="1:20" x14ac:dyDescent="0.25">
      <c r="A183" s="6">
        <v>10198</v>
      </c>
      <c r="B183" s="6">
        <v>1240</v>
      </c>
      <c r="C183" s="11">
        <v>45291</v>
      </c>
      <c r="D183" s="11">
        <v>45292</v>
      </c>
      <c r="E183" s="6" t="s">
        <v>97</v>
      </c>
      <c r="F183" s="6" t="s">
        <v>104</v>
      </c>
      <c r="G183" s="6" t="s">
        <v>80</v>
      </c>
      <c r="H183" s="6" t="s">
        <v>105</v>
      </c>
      <c r="I183" s="6" t="s">
        <v>82</v>
      </c>
      <c r="J183" s="6" t="s">
        <v>132</v>
      </c>
      <c r="K183" s="6" t="s">
        <v>108</v>
      </c>
      <c r="L183" s="6">
        <v>5</v>
      </c>
      <c r="M183" s="6">
        <v>1227.02</v>
      </c>
      <c r="N183" s="13">
        <f t="shared" si="10"/>
        <v>6135.1</v>
      </c>
      <c r="O183" s="6">
        <v>15</v>
      </c>
      <c r="P183" s="6">
        <f t="shared" si="11"/>
        <v>920.26499999999999</v>
      </c>
      <c r="Q183" s="6">
        <f t="shared" si="12"/>
        <v>5214.835</v>
      </c>
      <c r="R183" s="6" t="str">
        <f t="shared" si="13"/>
        <v>High Sale</v>
      </c>
      <c r="S183" s="6" t="str" cm="1">
        <f t="array" ref="S183">_xlfn.IFS(L183&gt;5,"High",L183=5,"Medium",L183&lt;5,"Low")</f>
        <v>Medium</v>
      </c>
      <c r="T183" s="6" t="str">
        <f t="shared" si="14"/>
        <v>Medium</v>
      </c>
    </row>
    <row r="184" spans="1:20" x14ac:dyDescent="0.25">
      <c r="A184" s="6">
        <v>10199</v>
      </c>
      <c r="B184" s="6">
        <v>1563</v>
      </c>
      <c r="C184" s="11">
        <v>44977</v>
      </c>
      <c r="D184" s="11">
        <v>44984</v>
      </c>
      <c r="E184" s="6" t="s">
        <v>97</v>
      </c>
      <c r="F184" s="6" t="s">
        <v>86</v>
      </c>
      <c r="G184" s="6" t="s">
        <v>87</v>
      </c>
      <c r="H184" s="6" t="s">
        <v>98</v>
      </c>
      <c r="I184" s="6" t="s">
        <v>112</v>
      </c>
      <c r="J184" s="6" t="s">
        <v>114</v>
      </c>
      <c r="K184" s="6" t="s">
        <v>110</v>
      </c>
      <c r="L184" s="6">
        <v>4</v>
      </c>
      <c r="M184" s="6">
        <v>1428.19</v>
      </c>
      <c r="N184" s="13">
        <f t="shared" si="10"/>
        <v>5712.76</v>
      </c>
      <c r="O184" s="6">
        <v>10</v>
      </c>
      <c r="P184" s="6">
        <f t="shared" si="11"/>
        <v>571.27600000000007</v>
      </c>
      <c r="Q184" s="6">
        <f t="shared" si="12"/>
        <v>5141.4840000000004</v>
      </c>
      <c r="R184" s="6" t="str">
        <f t="shared" si="13"/>
        <v>Low Sale</v>
      </c>
      <c r="S184" s="6" t="str" cm="1">
        <f t="array" ref="S184">_xlfn.IFS(L184&gt;5,"High",L184=5,"Medium",L184&lt;5,"Low")</f>
        <v>Low</v>
      </c>
      <c r="T184" s="6" t="str">
        <f t="shared" si="14"/>
        <v>Low</v>
      </c>
    </row>
    <row r="185" spans="1:20" x14ac:dyDescent="0.25">
      <c r="A185" s="6">
        <v>10200</v>
      </c>
      <c r="B185" s="6">
        <v>1095</v>
      </c>
      <c r="C185" s="11">
        <v>45171</v>
      </c>
      <c r="D185" s="11">
        <v>45176</v>
      </c>
      <c r="E185" s="6" t="s">
        <v>78</v>
      </c>
      <c r="F185" s="6" t="s">
        <v>92</v>
      </c>
      <c r="G185" s="6" t="s">
        <v>93</v>
      </c>
      <c r="H185" s="6" t="s">
        <v>107</v>
      </c>
      <c r="I185" s="6" t="s">
        <v>82</v>
      </c>
      <c r="J185" s="6" t="s">
        <v>132</v>
      </c>
      <c r="K185" s="6" t="s">
        <v>96</v>
      </c>
      <c r="L185" s="6">
        <v>3</v>
      </c>
      <c r="M185" s="6">
        <v>2701.77</v>
      </c>
      <c r="N185" s="13">
        <f t="shared" si="10"/>
        <v>8105.3099999999995</v>
      </c>
      <c r="O185" s="6">
        <v>15</v>
      </c>
      <c r="P185" s="6">
        <f t="shared" si="11"/>
        <v>1215.7964999999999</v>
      </c>
      <c r="Q185" s="6">
        <f t="shared" si="12"/>
        <v>6889.5134999999991</v>
      </c>
      <c r="R185" s="6" t="str">
        <f t="shared" si="13"/>
        <v>Low Sale</v>
      </c>
      <c r="S185" s="6" t="str" cm="1">
        <f t="array" ref="S185">_xlfn.IFS(L185&gt;5,"High",L185=5,"Medium",L185&lt;5,"Low")</f>
        <v>Low</v>
      </c>
      <c r="T185" s="6" t="str">
        <f t="shared" si="14"/>
        <v>Low</v>
      </c>
    </row>
    <row r="186" spans="1:20" x14ac:dyDescent="0.25">
      <c r="A186" s="6">
        <v>10201</v>
      </c>
      <c r="B186" s="6">
        <v>1899</v>
      </c>
      <c r="C186" s="11">
        <v>44961</v>
      </c>
      <c r="D186" s="11">
        <v>44966</v>
      </c>
      <c r="E186" s="6" t="s">
        <v>78</v>
      </c>
      <c r="F186" s="6" t="s">
        <v>92</v>
      </c>
      <c r="G186" s="6" t="s">
        <v>93</v>
      </c>
      <c r="H186" s="6" t="s">
        <v>105</v>
      </c>
      <c r="I186" s="6" t="s">
        <v>120</v>
      </c>
      <c r="J186" s="6" t="s">
        <v>122</v>
      </c>
      <c r="K186" s="6" t="s">
        <v>91</v>
      </c>
      <c r="L186" s="6">
        <v>5</v>
      </c>
      <c r="M186" s="6">
        <v>3501.94</v>
      </c>
      <c r="N186" s="13">
        <f t="shared" si="10"/>
        <v>17509.7</v>
      </c>
      <c r="O186" s="6">
        <v>20</v>
      </c>
      <c r="P186" s="6">
        <f t="shared" si="11"/>
        <v>3501.9400000000005</v>
      </c>
      <c r="Q186" s="6">
        <f t="shared" si="12"/>
        <v>14007.76</v>
      </c>
      <c r="R186" s="6" t="str">
        <f t="shared" si="13"/>
        <v>High Sale</v>
      </c>
      <c r="S186" s="6" t="str" cm="1">
        <f t="array" ref="S186">_xlfn.IFS(L186&gt;5,"High",L186=5,"Medium",L186&lt;5,"Low")</f>
        <v>Medium</v>
      </c>
      <c r="T186" s="6" t="str">
        <f t="shared" si="14"/>
        <v>Medium</v>
      </c>
    </row>
    <row r="187" spans="1:20" x14ac:dyDescent="0.25">
      <c r="A187" s="6">
        <v>10202</v>
      </c>
      <c r="B187" s="6">
        <v>1733</v>
      </c>
      <c r="C187" s="11">
        <v>45228</v>
      </c>
      <c r="D187" s="11">
        <v>45229</v>
      </c>
      <c r="E187" s="6" t="s">
        <v>103</v>
      </c>
      <c r="F187" s="6" t="s">
        <v>117</v>
      </c>
      <c r="G187" s="6" t="s">
        <v>80</v>
      </c>
      <c r="H187" s="6" t="s">
        <v>81</v>
      </c>
      <c r="I187" s="6" t="s">
        <v>94</v>
      </c>
      <c r="J187" s="6" t="s">
        <v>128</v>
      </c>
      <c r="K187" s="6" t="s">
        <v>91</v>
      </c>
      <c r="L187" s="6">
        <v>9</v>
      </c>
      <c r="M187" s="6">
        <v>3072.48</v>
      </c>
      <c r="N187" s="13">
        <f t="shared" si="10"/>
        <v>27652.32</v>
      </c>
      <c r="O187" s="6">
        <v>0</v>
      </c>
      <c r="P187" s="6">
        <f t="shared" si="11"/>
        <v>0</v>
      </c>
      <c r="Q187" s="6">
        <f t="shared" si="12"/>
        <v>27652.32</v>
      </c>
      <c r="R187" s="6" t="str">
        <f t="shared" si="13"/>
        <v>High Sale</v>
      </c>
      <c r="S187" s="6" t="str" cm="1">
        <f t="array" ref="S187">_xlfn.IFS(L187&gt;5,"High",L187=5,"Medium",L187&lt;5,"Low")</f>
        <v>High</v>
      </c>
      <c r="T187" s="6" t="str">
        <f t="shared" si="14"/>
        <v>High</v>
      </c>
    </row>
    <row r="188" spans="1:20" x14ac:dyDescent="0.25">
      <c r="A188" s="6">
        <v>10207</v>
      </c>
      <c r="B188" s="6">
        <v>1654</v>
      </c>
      <c r="C188" s="11">
        <v>45000</v>
      </c>
      <c r="D188" s="11">
        <v>45006</v>
      </c>
      <c r="E188" s="6" t="s">
        <v>100</v>
      </c>
      <c r="F188" s="6" t="s">
        <v>104</v>
      </c>
      <c r="G188" s="6" t="s">
        <v>87</v>
      </c>
      <c r="H188" s="6" t="s">
        <v>107</v>
      </c>
      <c r="I188" s="6" t="s">
        <v>112</v>
      </c>
      <c r="J188" s="6" t="s">
        <v>114</v>
      </c>
      <c r="K188" s="6" t="s">
        <v>96</v>
      </c>
      <c r="L188" s="6">
        <v>7</v>
      </c>
      <c r="M188" s="6">
        <v>982.56</v>
      </c>
      <c r="N188" s="13">
        <f t="shared" si="10"/>
        <v>6877.92</v>
      </c>
      <c r="O188" s="6">
        <v>10</v>
      </c>
      <c r="P188" s="6">
        <f t="shared" si="11"/>
        <v>687.79200000000003</v>
      </c>
      <c r="Q188" s="6">
        <f t="shared" si="12"/>
        <v>6190.1279999999997</v>
      </c>
      <c r="R188" s="6" t="str">
        <f t="shared" si="13"/>
        <v>High Sale</v>
      </c>
      <c r="S188" s="6" t="str" cm="1">
        <f t="array" ref="S188">_xlfn.IFS(L188&gt;5,"High",L188=5,"Medium",L188&lt;5,"Low")</f>
        <v>High</v>
      </c>
      <c r="T188" s="6" t="str">
        <f t="shared" si="14"/>
        <v>High</v>
      </c>
    </row>
    <row r="189" spans="1:20" x14ac:dyDescent="0.25">
      <c r="A189" s="6">
        <v>10208</v>
      </c>
      <c r="B189" s="6">
        <v>1170</v>
      </c>
      <c r="C189" s="11">
        <v>45118</v>
      </c>
      <c r="D189" s="11">
        <v>45123</v>
      </c>
      <c r="E189" s="6" t="s">
        <v>109</v>
      </c>
      <c r="F189" s="6" t="s">
        <v>104</v>
      </c>
      <c r="G189" s="6" t="s">
        <v>87</v>
      </c>
      <c r="H189" s="6" t="s">
        <v>105</v>
      </c>
      <c r="I189" s="6" t="s">
        <v>115</v>
      </c>
      <c r="J189" s="6" t="s">
        <v>116</v>
      </c>
      <c r="K189" s="6" t="s">
        <v>91</v>
      </c>
      <c r="L189" s="6">
        <v>8</v>
      </c>
      <c r="M189" s="6">
        <v>953.07</v>
      </c>
      <c r="N189" s="13">
        <f t="shared" si="10"/>
        <v>7624.56</v>
      </c>
      <c r="O189" s="6">
        <v>20</v>
      </c>
      <c r="P189" s="6">
        <f t="shared" si="11"/>
        <v>1524.9120000000003</v>
      </c>
      <c r="Q189" s="6">
        <f t="shared" si="12"/>
        <v>6099.6480000000001</v>
      </c>
      <c r="R189" s="6" t="str">
        <f t="shared" si="13"/>
        <v>High Sale</v>
      </c>
      <c r="S189" s="6" t="str" cm="1">
        <f t="array" ref="S189">_xlfn.IFS(L189&gt;5,"High",L189=5,"Medium",L189&lt;5,"Low")</f>
        <v>High</v>
      </c>
      <c r="T189" s="6" t="str">
        <f t="shared" si="14"/>
        <v>High</v>
      </c>
    </row>
    <row r="190" spans="1:20" x14ac:dyDescent="0.25">
      <c r="A190" s="6">
        <v>10209</v>
      </c>
      <c r="B190" s="6">
        <v>1540</v>
      </c>
      <c r="C190" s="11">
        <v>45187</v>
      </c>
      <c r="D190" s="11">
        <v>45193</v>
      </c>
      <c r="E190" s="6" t="s">
        <v>103</v>
      </c>
      <c r="F190" s="6" t="s">
        <v>79</v>
      </c>
      <c r="G190" s="6" t="s">
        <v>80</v>
      </c>
      <c r="H190" s="6" t="s">
        <v>105</v>
      </c>
      <c r="I190" s="6" t="s">
        <v>112</v>
      </c>
      <c r="J190" s="6" t="s">
        <v>113</v>
      </c>
      <c r="K190" s="6" t="s">
        <v>108</v>
      </c>
      <c r="L190" s="6">
        <v>8</v>
      </c>
      <c r="M190" s="6">
        <v>1291.1099999999999</v>
      </c>
      <c r="N190" s="13">
        <f t="shared" si="10"/>
        <v>10328.879999999999</v>
      </c>
      <c r="O190" s="6">
        <v>15</v>
      </c>
      <c r="P190" s="6">
        <f t="shared" si="11"/>
        <v>1549.3319999999999</v>
      </c>
      <c r="Q190" s="6">
        <f t="shared" si="12"/>
        <v>8779.5479999999989</v>
      </c>
      <c r="R190" s="6" t="str">
        <f t="shared" si="13"/>
        <v>High Sale</v>
      </c>
      <c r="S190" s="6" t="str" cm="1">
        <f t="array" ref="S190">_xlfn.IFS(L190&gt;5,"High",L190=5,"Medium",L190&lt;5,"Low")</f>
        <v>High</v>
      </c>
      <c r="T190" s="6" t="str">
        <f t="shared" si="14"/>
        <v>High</v>
      </c>
    </row>
    <row r="191" spans="1:20" x14ac:dyDescent="0.25">
      <c r="A191" s="6">
        <v>10210</v>
      </c>
      <c r="B191" s="6">
        <v>1035</v>
      </c>
      <c r="C191" s="11">
        <v>45282</v>
      </c>
      <c r="D191" s="11">
        <v>45284</v>
      </c>
      <c r="E191" s="6" t="s">
        <v>78</v>
      </c>
      <c r="F191" s="6" t="s">
        <v>117</v>
      </c>
      <c r="G191" s="6" t="s">
        <v>93</v>
      </c>
      <c r="H191" s="6" t="s">
        <v>81</v>
      </c>
      <c r="I191" s="6" t="s">
        <v>82</v>
      </c>
      <c r="J191" s="6" t="s">
        <v>83</v>
      </c>
      <c r="K191" s="6" t="s">
        <v>108</v>
      </c>
      <c r="L191" s="6">
        <v>8</v>
      </c>
      <c r="M191" s="6">
        <v>3656.59</v>
      </c>
      <c r="N191" s="13">
        <f t="shared" si="10"/>
        <v>29252.720000000001</v>
      </c>
      <c r="O191" s="6">
        <v>15</v>
      </c>
      <c r="P191" s="6">
        <f t="shared" si="11"/>
        <v>4387.9080000000004</v>
      </c>
      <c r="Q191" s="6">
        <f t="shared" si="12"/>
        <v>24864.812000000002</v>
      </c>
      <c r="R191" s="6" t="str">
        <f t="shared" si="13"/>
        <v>High Sale</v>
      </c>
      <c r="S191" s="6" t="str" cm="1">
        <f t="array" ref="S191">_xlfn.IFS(L191&gt;5,"High",L191=5,"Medium",L191&lt;5,"Low")</f>
        <v>High</v>
      </c>
      <c r="T191" s="6" t="str">
        <f t="shared" si="14"/>
        <v>High</v>
      </c>
    </row>
    <row r="192" spans="1:20" x14ac:dyDescent="0.25">
      <c r="A192" s="6">
        <v>10211</v>
      </c>
      <c r="B192" s="6">
        <v>1524</v>
      </c>
      <c r="C192" s="11">
        <v>44996</v>
      </c>
      <c r="D192" s="11">
        <v>45000</v>
      </c>
      <c r="E192" s="6" t="s">
        <v>85</v>
      </c>
      <c r="F192" s="6" t="s">
        <v>86</v>
      </c>
      <c r="G192" s="6" t="s">
        <v>87</v>
      </c>
      <c r="H192" s="6" t="s">
        <v>105</v>
      </c>
      <c r="I192" s="6" t="s">
        <v>112</v>
      </c>
      <c r="J192" s="6" t="s">
        <v>114</v>
      </c>
      <c r="K192" s="6" t="s">
        <v>84</v>
      </c>
      <c r="L192" s="6">
        <v>7</v>
      </c>
      <c r="M192" s="6">
        <v>2257.5500000000002</v>
      </c>
      <c r="N192" s="13">
        <f t="shared" si="10"/>
        <v>15802.850000000002</v>
      </c>
      <c r="O192" s="6">
        <v>10</v>
      </c>
      <c r="P192" s="6">
        <f t="shared" si="11"/>
        <v>1580.2850000000003</v>
      </c>
      <c r="Q192" s="6">
        <f t="shared" si="12"/>
        <v>14222.565000000002</v>
      </c>
      <c r="R192" s="6" t="str">
        <f t="shared" si="13"/>
        <v>High Sale</v>
      </c>
      <c r="S192" s="6" t="str" cm="1">
        <f t="array" ref="S192">_xlfn.IFS(L192&gt;5,"High",L192=5,"Medium",L192&lt;5,"Low")</f>
        <v>High</v>
      </c>
      <c r="T192" s="6" t="str">
        <f t="shared" si="14"/>
        <v>High</v>
      </c>
    </row>
    <row r="193" spans="1:20" x14ac:dyDescent="0.25">
      <c r="A193" s="6">
        <v>10212</v>
      </c>
      <c r="B193" s="6">
        <v>1159</v>
      </c>
      <c r="C193" s="11">
        <v>45016</v>
      </c>
      <c r="D193" s="11">
        <v>45019</v>
      </c>
      <c r="E193" s="6" t="s">
        <v>79</v>
      </c>
      <c r="F193" s="6" t="s">
        <v>92</v>
      </c>
      <c r="G193" s="6" t="s">
        <v>93</v>
      </c>
      <c r="H193" s="6" t="s">
        <v>107</v>
      </c>
      <c r="I193" s="6" t="s">
        <v>89</v>
      </c>
      <c r="J193" s="6" t="s">
        <v>124</v>
      </c>
      <c r="K193" s="6" t="s">
        <v>96</v>
      </c>
      <c r="L193" s="6">
        <v>1</v>
      </c>
      <c r="M193" s="6">
        <v>2975.54</v>
      </c>
      <c r="N193" s="13">
        <f t="shared" si="10"/>
        <v>2975.54</v>
      </c>
      <c r="O193" s="6">
        <v>15</v>
      </c>
      <c r="P193" s="6">
        <f t="shared" si="11"/>
        <v>446.33099999999996</v>
      </c>
      <c r="Q193" s="6">
        <f t="shared" si="12"/>
        <v>2529.2089999999998</v>
      </c>
      <c r="R193" s="6" t="str">
        <f t="shared" si="13"/>
        <v>Low Sale</v>
      </c>
      <c r="S193" s="6" t="str" cm="1">
        <f t="array" ref="S193">_xlfn.IFS(L193&gt;5,"High",L193=5,"Medium",L193&lt;5,"Low")</f>
        <v>Low</v>
      </c>
      <c r="T193" s="6" t="str">
        <f t="shared" si="14"/>
        <v>Low</v>
      </c>
    </row>
    <row r="194" spans="1:20" x14ac:dyDescent="0.25">
      <c r="A194" s="6">
        <v>10214</v>
      </c>
      <c r="B194" s="6">
        <v>1698</v>
      </c>
      <c r="C194" s="11">
        <v>45052</v>
      </c>
      <c r="D194" s="11">
        <v>45061</v>
      </c>
      <c r="E194" s="6" t="s">
        <v>100</v>
      </c>
      <c r="F194" s="6" t="s">
        <v>92</v>
      </c>
      <c r="G194" s="6" t="s">
        <v>87</v>
      </c>
      <c r="H194" s="6" t="s">
        <v>107</v>
      </c>
      <c r="I194" s="6" t="s">
        <v>112</v>
      </c>
      <c r="J194" s="6" t="s">
        <v>126</v>
      </c>
      <c r="K194" s="6" t="s">
        <v>110</v>
      </c>
      <c r="L194" s="6">
        <v>4</v>
      </c>
      <c r="M194" s="6">
        <v>1719.71</v>
      </c>
      <c r="N194" s="13">
        <f t="shared" si="10"/>
        <v>6878.84</v>
      </c>
      <c r="O194" s="6">
        <v>15</v>
      </c>
      <c r="P194" s="6">
        <f t="shared" si="11"/>
        <v>1031.826</v>
      </c>
      <c r="Q194" s="6">
        <f t="shared" si="12"/>
        <v>5847.0140000000001</v>
      </c>
      <c r="R194" s="6" t="str">
        <f t="shared" si="13"/>
        <v>Low Sale</v>
      </c>
      <c r="S194" s="6" t="str" cm="1">
        <f t="array" ref="S194">_xlfn.IFS(L194&gt;5,"High",L194=5,"Medium",L194&lt;5,"Low")</f>
        <v>Low</v>
      </c>
      <c r="T194" s="6" t="str">
        <f t="shared" si="14"/>
        <v>Low</v>
      </c>
    </row>
    <row r="195" spans="1:20" x14ac:dyDescent="0.25">
      <c r="A195" s="6">
        <v>10215</v>
      </c>
      <c r="B195" s="6">
        <v>1242</v>
      </c>
      <c r="C195" s="11">
        <v>45157</v>
      </c>
      <c r="D195" s="11">
        <v>45162</v>
      </c>
      <c r="E195" s="6" t="s">
        <v>78</v>
      </c>
      <c r="F195" s="6" t="s">
        <v>79</v>
      </c>
      <c r="G195" s="6" t="s">
        <v>80</v>
      </c>
      <c r="H195" s="6" t="s">
        <v>88</v>
      </c>
      <c r="I195" s="6" t="s">
        <v>89</v>
      </c>
      <c r="J195" s="6" t="s">
        <v>90</v>
      </c>
      <c r="K195" s="6" t="s">
        <v>84</v>
      </c>
      <c r="L195" s="6">
        <v>5</v>
      </c>
      <c r="M195" s="6">
        <v>633.42999999999995</v>
      </c>
      <c r="N195" s="13">
        <f t="shared" ref="N195:N258" si="15">L195*M195</f>
        <v>3167.1499999999996</v>
      </c>
      <c r="O195" s="6">
        <v>20</v>
      </c>
      <c r="P195" s="6">
        <f t="shared" ref="P195:P258" si="16">N195*O195%</f>
        <v>633.42999999999995</v>
      </c>
      <c r="Q195" s="6">
        <f t="shared" ref="Q195:Q258" si="17">N195-P195</f>
        <v>2533.7199999999998</v>
      </c>
      <c r="R195" s="6" t="str">
        <f t="shared" ref="R195:R258" si="18">IF(L195&gt;=5,"High Sale", "Low Sale")</f>
        <v>High Sale</v>
      </c>
      <c r="S195" s="6" t="str" cm="1">
        <f t="array" ref="S195">_xlfn.IFS(L195&gt;5,"High",L195=5,"Medium",L195&lt;5,"Low")</f>
        <v>Medium</v>
      </c>
      <c r="T195" s="6" t="str">
        <f t="shared" ref="T195:T258" si="19">IF(L195&gt;5,"High",IF(L195=5,"Medium","Low"))</f>
        <v>Medium</v>
      </c>
    </row>
    <row r="196" spans="1:20" x14ac:dyDescent="0.25">
      <c r="A196" s="6">
        <v>10216</v>
      </c>
      <c r="B196" s="6">
        <v>1085</v>
      </c>
      <c r="C196" s="11">
        <v>45221</v>
      </c>
      <c r="D196" s="11">
        <v>45227</v>
      </c>
      <c r="E196" s="6" t="s">
        <v>100</v>
      </c>
      <c r="F196" s="6" t="s">
        <v>86</v>
      </c>
      <c r="G196" s="6" t="s">
        <v>87</v>
      </c>
      <c r="H196" s="6" t="s">
        <v>81</v>
      </c>
      <c r="I196" s="6" t="s">
        <v>120</v>
      </c>
      <c r="J196" s="6" t="s">
        <v>129</v>
      </c>
      <c r="K196" s="6" t="s">
        <v>84</v>
      </c>
      <c r="L196" s="6">
        <v>6</v>
      </c>
      <c r="M196" s="6">
        <v>809.49</v>
      </c>
      <c r="N196" s="13">
        <f t="shared" si="15"/>
        <v>4856.9400000000005</v>
      </c>
      <c r="O196" s="6">
        <v>5</v>
      </c>
      <c r="P196" s="6">
        <f t="shared" si="16"/>
        <v>242.84700000000004</v>
      </c>
      <c r="Q196" s="6">
        <f t="shared" si="17"/>
        <v>4614.0930000000008</v>
      </c>
      <c r="R196" s="6" t="str">
        <f t="shared" si="18"/>
        <v>High Sale</v>
      </c>
      <c r="S196" s="6" t="str" cm="1">
        <f t="array" ref="S196">_xlfn.IFS(L196&gt;5,"High",L196=5,"Medium",L196&lt;5,"Low")</f>
        <v>High</v>
      </c>
      <c r="T196" s="6" t="str">
        <f t="shared" si="19"/>
        <v>High</v>
      </c>
    </row>
    <row r="197" spans="1:20" x14ac:dyDescent="0.25">
      <c r="A197" s="6">
        <v>10217</v>
      </c>
      <c r="B197" s="6">
        <v>1795</v>
      </c>
      <c r="C197" s="11">
        <v>45055</v>
      </c>
      <c r="D197" s="11">
        <v>45057</v>
      </c>
      <c r="E197" s="6" t="s">
        <v>100</v>
      </c>
      <c r="F197" s="6" t="s">
        <v>104</v>
      </c>
      <c r="G197" s="6" t="s">
        <v>87</v>
      </c>
      <c r="H197" s="6" t="s">
        <v>105</v>
      </c>
      <c r="I197" s="6" t="s">
        <v>112</v>
      </c>
      <c r="J197" s="6" t="s">
        <v>113</v>
      </c>
      <c r="K197" s="6" t="s">
        <v>91</v>
      </c>
      <c r="L197" s="6">
        <v>4</v>
      </c>
      <c r="M197" s="6">
        <v>3335.32</v>
      </c>
      <c r="N197" s="13">
        <f t="shared" si="15"/>
        <v>13341.28</v>
      </c>
      <c r="O197" s="6">
        <v>20</v>
      </c>
      <c r="P197" s="6">
        <f t="shared" si="16"/>
        <v>2668.2560000000003</v>
      </c>
      <c r="Q197" s="6">
        <f t="shared" si="17"/>
        <v>10673.024000000001</v>
      </c>
      <c r="R197" s="6" t="str">
        <f t="shared" si="18"/>
        <v>Low Sale</v>
      </c>
      <c r="S197" s="6" t="str" cm="1">
        <f t="array" ref="S197">_xlfn.IFS(L197&gt;5,"High",L197=5,"Medium",L197&lt;5,"Low")</f>
        <v>Low</v>
      </c>
      <c r="T197" s="6" t="str">
        <f t="shared" si="19"/>
        <v>Low</v>
      </c>
    </row>
    <row r="198" spans="1:20" x14ac:dyDescent="0.25">
      <c r="A198" s="6">
        <v>10218</v>
      </c>
      <c r="B198" s="6">
        <v>1577</v>
      </c>
      <c r="C198" s="11">
        <v>45206</v>
      </c>
      <c r="D198" s="11">
        <v>45209</v>
      </c>
      <c r="E198" s="6" t="s">
        <v>100</v>
      </c>
      <c r="F198" s="6" t="s">
        <v>92</v>
      </c>
      <c r="G198" s="6" t="s">
        <v>80</v>
      </c>
      <c r="H198" s="6" t="s">
        <v>107</v>
      </c>
      <c r="I198" s="6" t="s">
        <v>89</v>
      </c>
      <c r="J198" s="6" t="s">
        <v>131</v>
      </c>
      <c r="K198" s="6" t="s">
        <v>108</v>
      </c>
      <c r="L198" s="6">
        <v>2</v>
      </c>
      <c r="M198" s="6">
        <v>2401.63</v>
      </c>
      <c r="N198" s="13">
        <f t="shared" si="15"/>
        <v>4803.26</v>
      </c>
      <c r="O198" s="6">
        <v>0</v>
      </c>
      <c r="P198" s="6">
        <f t="shared" si="16"/>
        <v>0</v>
      </c>
      <c r="Q198" s="6">
        <f t="shared" si="17"/>
        <v>4803.26</v>
      </c>
      <c r="R198" s="6" t="str">
        <f t="shared" si="18"/>
        <v>Low Sale</v>
      </c>
      <c r="S198" s="6" t="str" cm="1">
        <f t="array" ref="S198">_xlfn.IFS(L198&gt;5,"High",L198=5,"Medium",L198&lt;5,"Low")</f>
        <v>Low</v>
      </c>
      <c r="T198" s="6" t="str">
        <f t="shared" si="19"/>
        <v>Low</v>
      </c>
    </row>
    <row r="199" spans="1:20" x14ac:dyDescent="0.25">
      <c r="A199" s="6">
        <v>10220</v>
      </c>
      <c r="B199" s="6">
        <v>1556</v>
      </c>
      <c r="C199" s="11">
        <v>45026</v>
      </c>
      <c r="D199" s="11">
        <v>45035</v>
      </c>
      <c r="E199" s="6" t="s">
        <v>100</v>
      </c>
      <c r="F199" s="6" t="s">
        <v>79</v>
      </c>
      <c r="G199" s="6" t="s">
        <v>87</v>
      </c>
      <c r="H199" s="6" t="s">
        <v>81</v>
      </c>
      <c r="I199" s="6" t="s">
        <v>82</v>
      </c>
      <c r="J199" s="6" t="s">
        <v>118</v>
      </c>
      <c r="K199" s="6" t="s">
        <v>84</v>
      </c>
      <c r="L199" s="6">
        <v>8</v>
      </c>
      <c r="M199" s="6">
        <v>3240.98</v>
      </c>
      <c r="N199" s="13">
        <f t="shared" si="15"/>
        <v>25927.84</v>
      </c>
      <c r="O199" s="6">
        <v>0</v>
      </c>
      <c r="P199" s="6">
        <f t="shared" si="16"/>
        <v>0</v>
      </c>
      <c r="Q199" s="6">
        <f t="shared" si="17"/>
        <v>25927.84</v>
      </c>
      <c r="R199" s="6" t="str">
        <f t="shared" si="18"/>
        <v>High Sale</v>
      </c>
      <c r="S199" s="6" t="str" cm="1">
        <f t="array" ref="S199">_xlfn.IFS(L199&gt;5,"High",L199=5,"Medium",L199&lt;5,"Low")</f>
        <v>High</v>
      </c>
      <c r="T199" s="6" t="str">
        <f t="shared" si="19"/>
        <v>High</v>
      </c>
    </row>
    <row r="200" spans="1:20" x14ac:dyDescent="0.25">
      <c r="A200" s="6">
        <v>10222</v>
      </c>
      <c r="B200" s="6">
        <v>1952</v>
      </c>
      <c r="C200" s="11">
        <v>45223</v>
      </c>
      <c r="D200" s="11">
        <v>45231</v>
      </c>
      <c r="E200" s="6" t="s">
        <v>79</v>
      </c>
      <c r="F200" s="6" t="s">
        <v>79</v>
      </c>
      <c r="G200" s="6" t="s">
        <v>87</v>
      </c>
      <c r="H200" s="6" t="s">
        <v>107</v>
      </c>
      <c r="I200" s="6" t="s">
        <v>112</v>
      </c>
      <c r="J200" s="6" t="s">
        <v>114</v>
      </c>
      <c r="K200" s="6" t="s">
        <v>84</v>
      </c>
      <c r="L200" s="6">
        <v>7</v>
      </c>
      <c r="M200" s="6">
        <v>3907.73</v>
      </c>
      <c r="N200" s="13">
        <f t="shared" si="15"/>
        <v>27354.11</v>
      </c>
      <c r="O200" s="6">
        <v>10</v>
      </c>
      <c r="P200" s="6">
        <f t="shared" si="16"/>
        <v>2735.4110000000001</v>
      </c>
      <c r="Q200" s="6">
        <f t="shared" si="17"/>
        <v>24618.699000000001</v>
      </c>
      <c r="R200" s="6" t="str">
        <f t="shared" si="18"/>
        <v>High Sale</v>
      </c>
      <c r="S200" s="6" t="str" cm="1">
        <f t="array" ref="S200">_xlfn.IFS(L200&gt;5,"High",L200=5,"Medium",L200&lt;5,"Low")</f>
        <v>High</v>
      </c>
      <c r="T200" s="6" t="str">
        <f t="shared" si="19"/>
        <v>High</v>
      </c>
    </row>
    <row r="201" spans="1:20" x14ac:dyDescent="0.25">
      <c r="A201" s="6">
        <v>10223</v>
      </c>
      <c r="B201" s="6">
        <v>1645</v>
      </c>
      <c r="C201" s="11">
        <v>45108</v>
      </c>
      <c r="D201" s="11">
        <v>45117</v>
      </c>
      <c r="E201" s="6" t="s">
        <v>109</v>
      </c>
      <c r="F201" s="6" t="s">
        <v>117</v>
      </c>
      <c r="G201" s="6" t="s">
        <v>80</v>
      </c>
      <c r="H201" s="6" t="s">
        <v>88</v>
      </c>
      <c r="I201" s="6" t="s">
        <v>120</v>
      </c>
      <c r="J201" s="6" t="s">
        <v>122</v>
      </c>
      <c r="K201" s="6" t="s">
        <v>110</v>
      </c>
      <c r="L201" s="6">
        <v>6</v>
      </c>
      <c r="M201" s="6">
        <v>1477.55</v>
      </c>
      <c r="N201" s="13">
        <f t="shared" si="15"/>
        <v>8865.2999999999993</v>
      </c>
      <c r="O201" s="6">
        <v>10</v>
      </c>
      <c r="P201" s="6">
        <f t="shared" si="16"/>
        <v>886.53</v>
      </c>
      <c r="Q201" s="6">
        <f t="shared" si="17"/>
        <v>7978.7699999999995</v>
      </c>
      <c r="R201" s="6" t="str">
        <f t="shared" si="18"/>
        <v>High Sale</v>
      </c>
      <c r="S201" s="6" t="str" cm="1">
        <f t="array" ref="S201">_xlfn.IFS(L201&gt;5,"High",L201=5,"Medium",L201&lt;5,"Low")</f>
        <v>High</v>
      </c>
      <c r="T201" s="6" t="str">
        <f t="shared" si="19"/>
        <v>High</v>
      </c>
    </row>
    <row r="202" spans="1:20" x14ac:dyDescent="0.25">
      <c r="A202" s="6">
        <v>10226</v>
      </c>
      <c r="B202" s="6">
        <v>1619</v>
      </c>
      <c r="C202" s="11">
        <v>45290</v>
      </c>
      <c r="D202" s="11">
        <v>45291</v>
      </c>
      <c r="E202" s="6" t="s">
        <v>100</v>
      </c>
      <c r="F202" s="6" t="s">
        <v>101</v>
      </c>
      <c r="G202" s="6" t="s">
        <v>80</v>
      </c>
      <c r="H202" s="6" t="s">
        <v>105</v>
      </c>
      <c r="I202" s="6" t="s">
        <v>112</v>
      </c>
      <c r="J202" s="6" t="s">
        <v>126</v>
      </c>
      <c r="K202" s="6" t="s">
        <v>108</v>
      </c>
      <c r="L202" s="6">
        <v>5</v>
      </c>
      <c r="M202" s="6">
        <v>620.13</v>
      </c>
      <c r="N202" s="13">
        <f t="shared" si="15"/>
        <v>3100.65</v>
      </c>
      <c r="O202" s="6">
        <v>5</v>
      </c>
      <c r="P202" s="6">
        <f t="shared" si="16"/>
        <v>155.03250000000003</v>
      </c>
      <c r="Q202" s="6">
        <f t="shared" si="17"/>
        <v>2945.6175000000003</v>
      </c>
      <c r="R202" s="6" t="str">
        <f t="shared" si="18"/>
        <v>High Sale</v>
      </c>
      <c r="S202" s="6" t="str" cm="1">
        <f t="array" ref="S202">_xlfn.IFS(L202&gt;5,"High",L202=5,"Medium",L202&lt;5,"Low")</f>
        <v>Medium</v>
      </c>
      <c r="T202" s="6" t="str">
        <f t="shared" si="19"/>
        <v>Medium</v>
      </c>
    </row>
    <row r="203" spans="1:20" x14ac:dyDescent="0.25">
      <c r="A203" s="6">
        <v>10229</v>
      </c>
      <c r="B203" s="6">
        <v>1797</v>
      </c>
      <c r="C203" s="11">
        <v>44957</v>
      </c>
      <c r="D203" s="11">
        <v>44959</v>
      </c>
      <c r="E203" s="6" t="s">
        <v>79</v>
      </c>
      <c r="F203" s="6" t="s">
        <v>117</v>
      </c>
      <c r="G203" s="6" t="s">
        <v>93</v>
      </c>
      <c r="H203" s="6" t="s">
        <v>107</v>
      </c>
      <c r="I203" s="6" t="s">
        <v>112</v>
      </c>
      <c r="J203" s="6" t="s">
        <v>130</v>
      </c>
      <c r="K203" s="6" t="s">
        <v>96</v>
      </c>
      <c r="L203" s="6">
        <v>8</v>
      </c>
      <c r="M203" s="6">
        <v>3519.2</v>
      </c>
      <c r="N203" s="13">
        <f t="shared" si="15"/>
        <v>28153.599999999999</v>
      </c>
      <c r="O203" s="6">
        <v>0</v>
      </c>
      <c r="P203" s="6">
        <f t="shared" si="16"/>
        <v>0</v>
      </c>
      <c r="Q203" s="6">
        <f t="shared" si="17"/>
        <v>28153.599999999999</v>
      </c>
      <c r="R203" s="6" t="str">
        <f t="shared" si="18"/>
        <v>High Sale</v>
      </c>
      <c r="S203" s="6" t="str" cm="1">
        <f t="array" ref="S203">_xlfn.IFS(L203&gt;5,"High",L203=5,"Medium",L203&lt;5,"Low")</f>
        <v>High</v>
      </c>
      <c r="T203" s="6" t="str">
        <f t="shared" si="19"/>
        <v>High</v>
      </c>
    </row>
    <row r="204" spans="1:20" x14ac:dyDescent="0.25">
      <c r="A204" s="6">
        <v>10232</v>
      </c>
      <c r="B204" s="6">
        <v>1639</v>
      </c>
      <c r="C204" s="11">
        <v>44962</v>
      </c>
      <c r="D204" s="11">
        <v>44969</v>
      </c>
      <c r="E204" s="6" t="s">
        <v>85</v>
      </c>
      <c r="F204" s="6" t="s">
        <v>92</v>
      </c>
      <c r="G204" s="6" t="s">
        <v>80</v>
      </c>
      <c r="H204" s="6" t="s">
        <v>81</v>
      </c>
      <c r="I204" s="6" t="s">
        <v>120</v>
      </c>
      <c r="J204" s="6" t="s">
        <v>122</v>
      </c>
      <c r="K204" s="6" t="s">
        <v>84</v>
      </c>
      <c r="L204" s="6">
        <v>1</v>
      </c>
      <c r="M204" s="6">
        <v>2250.4899999999998</v>
      </c>
      <c r="N204" s="13">
        <f t="shared" si="15"/>
        <v>2250.4899999999998</v>
      </c>
      <c r="O204" s="6">
        <v>15</v>
      </c>
      <c r="P204" s="6">
        <f t="shared" si="16"/>
        <v>337.57349999999997</v>
      </c>
      <c r="Q204" s="6">
        <f t="shared" si="17"/>
        <v>1912.9164999999998</v>
      </c>
      <c r="R204" s="6" t="str">
        <f t="shared" si="18"/>
        <v>Low Sale</v>
      </c>
      <c r="S204" s="6" t="str" cm="1">
        <f t="array" ref="S204">_xlfn.IFS(L204&gt;5,"High",L204=5,"Medium",L204&lt;5,"Low")</f>
        <v>Low</v>
      </c>
      <c r="T204" s="6" t="str">
        <f t="shared" si="19"/>
        <v>Low</v>
      </c>
    </row>
    <row r="205" spans="1:20" x14ac:dyDescent="0.25">
      <c r="A205" s="6">
        <v>10233</v>
      </c>
      <c r="B205" s="6">
        <v>1505</v>
      </c>
      <c r="C205" s="11">
        <v>45139</v>
      </c>
      <c r="D205" s="11">
        <v>45143</v>
      </c>
      <c r="E205" s="6" t="s">
        <v>79</v>
      </c>
      <c r="F205" s="6" t="s">
        <v>104</v>
      </c>
      <c r="G205" s="6" t="s">
        <v>80</v>
      </c>
      <c r="H205" s="6" t="s">
        <v>107</v>
      </c>
      <c r="I205" s="6" t="s">
        <v>82</v>
      </c>
      <c r="J205" s="6" t="s">
        <v>118</v>
      </c>
      <c r="K205" s="6" t="s">
        <v>110</v>
      </c>
      <c r="L205" s="6">
        <v>1</v>
      </c>
      <c r="M205" s="6">
        <v>556.53</v>
      </c>
      <c r="N205" s="13">
        <f t="shared" si="15"/>
        <v>556.53</v>
      </c>
      <c r="O205" s="6">
        <v>5</v>
      </c>
      <c r="P205" s="6">
        <f t="shared" si="16"/>
        <v>27.826499999999999</v>
      </c>
      <c r="Q205" s="6">
        <f t="shared" si="17"/>
        <v>528.70349999999996</v>
      </c>
      <c r="R205" s="6" t="str">
        <f t="shared" si="18"/>
        <v>Low Sale</v>
      </c>
      <c r="S205" s="6" t="str" cm="1">
        <f t="array" ref="S205">_xlfn.IFS(L205&gt;5,"High",L205=5,"Medium",L205&lt;5,"Low")</f>
        <v>Low</v>
      </c>
      <c r="T205" s="6" t="str">
        <f t="shared" si="19"/>
        <v>Low</v>
      </c>
    </row>
    <row r="206" spans="1:20" x14ac:dyDescent="0.25">
      <c r="A206" s="6">
        <v>10234</v>
      </c>
      <c r="B206" s="6">
        <v>1347</v>
      </c>
      <c r="C206" s="11">
        <v>45290</v>
      </c>
      <c r="D206" s="11">
        <v>45295</v>
      </c>
      <c r="E206" s="6" t="s">
        <v>100</v>
      </c>
      <c r="F206" s="6" t="s">
        <v>79</v>
      </c>
      <c r="G206" s="6" t="s">
        <v>93</v>
      </c>
      <c r="H206" s="6" t="s">
        <v>107</v>
      </c>
      <c r="I206" s="6" t="s">
        <v>94</v>
      </c>
      <c r="J206" s="6" t="s">
        <v>111</v>
      </c>
      <c r="K206" s="6" t="s">
        <v>96</v>
      </c>
      <c r="L206" s="6">
        <v>7</v>
      </c>
      <c r="M206" s="6">
        <v>324.38</v>
      </c>
      <c r="N206" s="13">
        <f t="shared" si="15"/>
        <v>2270.66</v>
      </c>
      <c r="O206" s="6">
        <v>10</v>
      </c>
      <c r="P206" s="6">
        <f t="shared" si="16"/>
        <v>227.066</v>
      </c>
      <c r="Q206" s="6">
        <f t="shared" si="17"/>
        <v>2043.5939999999998</v>
      </c>
      <c r="R206" s="6" t="str">
        <f t="shared" si="18"/>
        <v>High Sale</v>
      </c>
      <c r="S206" s="6" t="str" cm="1">
        <f t="array" ref="S206">_xlfn.IFS(L206&gt;5,"High",L206=5,"Medium",L206&lt;5,"Low")</f>
        <v>High</v>
      </c>
      <c r="T206" s="6" t="str">
        <f t="shared" si="19"/>
        <v>High</v>
      </c>
    </row>
    <row r="207" spans="1:20" x14ac:dyDescent="0.25">
      <c r="A207" s="6">
        <v>10235</v>
      </c>
      <c r="B207" s="6">
        <v>1472</v>
      </c>
      <c r="C207" s="11">
        <v>45032</v>
      </c>
      <c r="D207" s="11">
        <v>45040</v>
      </c>
      <c r="E207" s="6" t="s">
        <v>103</v>
      </c>
      <c r="F207" s="6" t="s">
        <v>92</v>
      </c>
      <c r="G207" s="6" t="s">
        <v>80</v>
      </c>
      <c r="H207" s="6" t="s">
        <v>98</v>
      </c>
      <c r="I207" s="6" t="s">
        <v>115</v>
      </c>
      <c r="J207" s="6" t="s">
        <v>123</v>
      </c>
      <c r="K207" s="6" t="s">
        <v>110</v>
      </c>
      <c r="L207" s="6">
        <v>9</v>
      </c>
      <c r="M207" s="6">
        <v>2677.09</v>
      </c>
      <c r="N207" s="13">
        <f t="shared" si="15"/>
        <v>24093.81</v>
      </c>
      <c r="O207" s="6">
        <v>10</v>
      </c>
      <c r="P207" s="6">
        <f t="shared" si="16"/>
        <v>2409.3810000000003</v>
      </c>
      <c r="Q207" s="6">
        <f t="shared" si="17"/>
        <v>21684.429</v>
      </c>
      <c r="R207" s="6" t="str">
        <f t="shared" si="18"/>
        <v>High Sale</v>
      </c>
      <c r="S207" s="6" t="str" cm="1">
        <f t="array" ref="S207">_xlfn.IFS(L207&gt;5,"High",L207=5,"Medium",L207&lt;5,"Low")</f>
        <v>High</v>
      </c>
      <c r="T207" s="6" t="str">
        <f t="shared" si="19"/>
        <v>High</v>
      </c>
    </row>
    <row r="208" spans="1:20" x14ac:dyDescent="0.25">
      <c r="A208" s="6">
        <v>10238</v>
      </c>
      <c r="B208" s="6">
        <v>1224</v>
      </c>
      <c r="C208" s="11">
        <v>45089</v>
      </c>
      <c r="D208" s="11">
        <v>45093</v>
      </c>
      <c r="E208" s="6" t="s">
        <v>97</v>
      </c>
      <c r="F208" s="6" t="s">
        <v>101</v>
      </c>
      <c r="G208" s="6" t="s">
        <v>87</v>
      </c>
      <c r="H208" s="6" t="s">
        <v>98</v>
      </c>
      <c r="I208" s="6" t="s">
        <v>120</v>
      </c>
      <c r="J208" s="6" t="s">
        <v>125</v>
      </c>
      <c r="K208" s="6" t="s">
        <v>108</v>
      </c>
      <c r="L208" s="6">
        <v>8</v>
      </c>
      <c r="M208" s="6">
        <v>284.52</v>
      </c>
      <c r="N208" s="13">
        <f t="shared" si="15"/>
        <v>2276.16</v>
      </c>
      <c r="O208" s="6">
        <v>15</v>
      </c>
      <c r="P208" s="6">
        <f t="shared" si="16"/>
        <v>341.42399999999998</v>
      </c>
      <c r="Q208" s="6">
        <f t="shared" si="17"/>
        <v>1934.7359999999999</v>
      </c>
      <c r="R208" s="6" t="str">
        <f t="shared" si="18"/>
        <v>High Sale</v>
      </c>
      <c r="S208" s="6" t="str" cm="1">
        <f t="array" ref="S208">_xlfn.IFS(L208&gt;5,"High",L208=5,"Medium",L208&lt;5,"Low")</f>
        <v>High</v>
      </c>
      <c r="T208" s="6" t="str">
        <f t="shared" si="19"/>
        <v>High</v>
      </c>
    </row>
    <row r="209" spans="1:20" x14ac:dyDescent="0.25">
      <c r="A209" s="6">
        <v>10239</v>
      </c>
      <c r="B209" s="6">
        <v>1384</v>
      </c>
      <c r="C209" s="11">
        <v>45146</v>
      </c>
      <c r="D209" s="11">
        <v>45149</v>
      </c>
      <c r="E209" s="6" t="s">
        <v>97</v>
      </c>
      <c r="F209" s="6" t="s">
        <v>104</v>
      </c>
      <c r="G209" s="6" t="s">
        <v>87</v>
      </c>
      <c r="H209" s="6" t="s">
        <v>88</v>
      </c>
      <c r="I209" s="6" t="s">
        <v>112</v>
      </c>
      <c r="J209" s="6" t="s">
        <v>126</v>
      </c>
      <c r="K209" s="6" t="s">
        <v>110</v>
      </c>
      <c r="L209" s="6">
        <v>2</v>
      </c>
      <c r="M209" s="6">
        <v>3960.56</v>
      </c>
      <c r="N209" s="13">
        <f t="shared" si="15"/>
        <v>7921.12</v>
      </c>
      <c r="O209" s="6">
        <v>10</v>
      </c>
      <c r="P209" s="6">
        <f t="shared" si="16"/>
        <v>792.11200000000008</v>
      </c>
      <c r="Q209" s="6">
        <f t="shared" si="17"/>
        <v>7129.0079999999998</v>
      </c>
      <c r="R209" s="6" t="str">
        <f t="shared" si="18"/>
        <v>Low Sale</v>
      </c>
      <c r="S209" s="6" t="str" cm="1">
        <f t="array" ref="S209">_xlfn.IFS(L209&gt;5,"High",L209=5,"Medium",L209&lt;5,"Low")</f>
        <v>Low</v>
      </c>
      <c r="T209" s="6" t="str">
        <f t="shared" si="19"/>
        <v>Low</v>
      </c>
    </row>
    <row r="210" spans="1:20" x14ac:dyDescent="0.25">
      <c r="A210" s="6">
        <v>10240</v>
      </c>
      <c r="B210" s="6">
        <v>1376</v>
      </c>
      <c r="C210" s="11">
        <v>45196</v>
      </c>
      <c r="D210" s="11">
        <v>45198</v>
      </c>
      <c r="E210" s="6" t="s">
        <v>79</v>
      </c>
      <c r="F210" s="6" t="s">
        <v>101</v>
      </c>
      <c r="G210" s="6" t="s">
        <v>80</v>
      </c>
      <c r="H210" s="6" t="s">
        <v>105</v>
      </c>
      <c r="I210" s="6" t="s">
        <v>120</v>
      </c>
      <c r="J210" s="6" t="s">
        <v>129</v>
      </c>
      <c r="K210" s="6" t="s">
        <v>108</v>
      </c>
      <c r="L210" s="6">
        <v>9</v>
      </c>
      <c r="M210" s="6">
        <v>265.58</v>
      </c>
      <c r="N210" s="13">
        <f t="shared" si="15"/>
        <v>2390.2199999999998</v>
      </c>
      <c r="O210" s="6">
        <v>10</v>
      </c>
      <c r="P210" s="6">
        <f t="shared" si="16"/>
        <v>239.02199999999999</v>
      </c>
      <c r="Q210" s="6">
        <f t="shared" si="17"/>
        <v>2151.1979999999999</v>
      </c>
      <c r="R210" s="6" t="str">
        <f t="shared" si="18"/>
        <v>High Sale</v>
      </c>
      <c r="S210" s="6" t="str" cm="1">
        <f t="array" ref="S210">_xlfn.IFS(L210&gt;5,"High",L210=5,"Medium",L210&lt;5,"Low")</f>
        <v>High</v>
      </c>
      <c r="T210" s="6" t="str">
        <f t="shared" si="19"/>
        <v>High</v>
      </c>
    </row>
    <row r="211" spans="1:20" x14ac:dyDescent="0.25">
      <c r="A211" s="6">
        <v>10241</v>
      </c>
      <c r="B211" s="6">
        <v>1282</v>
      </c>
      <c r="C211" s="11">
        <v>45046</v>
      </c>
      <c r="D211" s="11">
        <v>45049</v>
      </c>
      <c r="E211" s="6" t="s">
        <v>103</v>
      </c>
      <c r="F211" s="6" t="s">
        <v>104</v>
      </c>
      <c r="G211" s="6" t="s">
        <v>93</v>
      </c>
      <c r="H211" s="6" t="s">
        <v>81</v>
      </c>
      <c r="I211" s="6" t="s">
        <v>82</v>
      </c>
      <c r="J211" s="6" t="s">
        <v>132</v>
      </c>
      <c r="K211" s="6" t="s">
        <v>96</v>
      </c>
      <c r="L211" s="6">
        <v>6</v>
      </c>
      <c r="M211" s="6">
        <v>1861.43</v>
      </c>
      <c r="N211" s="13">
        <f t="shared" si="15"/>
        <v>11168.58</v>
      </c>
      <c r="O211" s="6">
        <v>0</v>
      </c>
      <c r="P211" s="6">
        <f t="shared" si="16"/>
        <v>0</v>
      </c>
      <c r="Q211" s="6">
        <f t="shared" si="17"/>
        <v>11168.58</v>
      </c>
      <c r="R211" s="6" t="str">
        <f t="shared" si="18"/>
        <v>High Sale</v>
      </c>
      <c r="S211" s="6" t="str" cm="1">
        <f t="array" ref="S211">_xlfn.IFS(L211&gt;5,"High",L211=5,"Medium",L211&lt;5,"Low")</f>
        <v>High</v>
      </c>
      <c r="T211" s="6" t="str">
        <f t="shared" si="19"/>
        <v>High</v>
      </c>
    </row>
    <row r="212" spans="1:20" x14ac:dyDescent="0.25">
      <c r="A212" s="6">
        <v>10243</v>
      </c>
      <c r="B212" s="6">
        <v>1632</v>
      </c>
      <c r="C212" s="11">
        <v>45108</v>
      </c>
      <c r="D212" s="11">
        <v>45109</v>
      </c>
      <c r="E212" s="6" t="s">
        <v>100</v>
      </c>
      <c r="F212" s="6" t="s">
        <v>86</v>
      </c>
      <c r="G212" s="6" t="s">
        <v>93</v>
      </c>
      <c r="H212" s="6" t="s">
        <v>81</v>
      </c>
      <c r="I212" s="6" t="s">
        <v>120</v>
      </c>
      <c r="J212" s="6" t="s">
        <v>122</v>
      </c>
      <c r="K212" s="6" t="s">
        <v>91</v>
      </c>
      <c r="L212" s="6">
        <v>2</v>
      </c>
      <c r="M212" s="6">
        <v>601.53</v>
      </c>
      <c r="N212" s="13">
        <f t="shared" si="15"/>
        <v>1203.06</v>
      </c>
      <c r="O212" s="6">
        <v>20</v>
      </c>
      <c r="P212" s="6">
        <f t="shared" si="16"/>
        <v>240.61199999999999</v>
      </c>
      <c r="Q212" s="6">
        <f t="shared" si="17"/>
        <v>962.44799999999998</v>
      </c>
      <c r="R212" s="6" t="str">
        <f t="shared" si="18"/>
        <v>Low Sale</v>
      </c>
      <c r="S212" s="6" t="str" cm="1">
        <f t="array" ref="S212">_xlfn.IFS(L212&gt;5,"High",L212=5,"Medium",L212&lt;5,"Low")</f>
        <v>Low</v>
      </c>
      <c r="T212" s="6" t="str">
        <f t="shared" si="19"/>
        <v>Low</v>
      </c>
    </row>
    <row r="213" spans="1:20" x14ac:dyDescent="0.25">
      <c r="A213" s="6">
        <v>10244</v>
      </c>
      <c r="B213" s="6">
        <v>1627</v>
      </c>
      <c r="C213" s="11">
        <v>45032</v>
      </c>
      <c r="D213" s="11">
        <v>45038</v>
      </c>
      <c r="E213" s="6" t="s">
        <v>97</v>
      </c>
      <c r="F213" s="6" t="s">
        <v>92</v>
      </c>
      <c r="G213" s="6" t="s">
        <v>80</v>
      </c>
      <c r="H213" s="6" t="s">
        <v>107</v>
      </c>
      <c r="I213" s="6" t="s">
        <v>115</v>
      </c>
      <c r="J213" s="6" t="s">
        <v>116</v>
      </c>
      <c r="K213" s="6" t="s">
        <v>108</v>
      </c>
      <c r="L213" s="6">
        <v>3</v>
      </c>
      <c r="M213" s="6">
        <v>800.89</v>
      </c>
      <c r="N213" s="13">
        <f t="shared" si="15"/>
        <v>2402.67</v>
      </c>
      <c r="O213" s="6">
        <v>0</v>
      </c>
      <c r="P213" s="6">
        <f t="shared" si="16"/>
        <v>0</v>
      </c>
      <c r="Q213" s="6">
        <f t="shared" si="17"/>
        <v>2402.67</v>
      </c>
      <c r="R213" s="6" t="str">
        <f t="shared" si="18"/>
        <v>Low Sale</v>
      </c>
      <c r="S213" s="6" t="str" cm="1">
        <f t="array" ref="S213">_xlfn.IFS(L213&gt;5,"High",L213=5,"Medium",L213&lt;5,"Low")</f>
        <v>Low</v>
      </c>
      <c r="T213" s="6" t="str">
        <f t="shared" si="19"/>
        <v>Low</v>
      </c>
    </row>
    <row r="214" spans="1:20" x14ac:dyDescent="0.25">
      <c r="A214" s="6">
        <v>10245</v>
      </c>
      <c r="B214" s="6">
        <v>1972</v>
      </c>
      <c r="C214" s="11">
        <v>45143</v>
      </c>
      <c r="D214" s="11">
        <v>45148</v>
      </c>
      <c r="E214" s="6" t="s">
        <v>78</v>
      </c>
      <c r="F214" s="6" t="s">
        <v>79</v>
      </c>
      <c r="G214" s="6" t="s">
        <v>93</v>
      </c>
      <c r="H214" s="6" t="s">
        <v>105</v>
      </c>
      <c r="I214" s="6" t="s">
        <v>112</v>
      </c>
      <c r="J214" s="6" t="s">
        <v>114</v>
      </c>
      <c r="K214" s="6" t="s">
        <v>110</v>
      </c>
      <c r="L214" s="6">
        <v>8</v>
      </c>
      <c r="M214" s="6">
        <v>1504.45</v>
      </c>
      <c r="N214" s="13">
        <f t="shared" si="15"/>
        <v>12035.6</v>
      </c>
      <c r="O214" s="6">
        <v>20</v>
      </c>
      <c r="P214" s="6">
        <f t="shared" si="16"/>
        <v>2407.1200000000003</v>
      </c>
      <c r="Q214" s="6">
        <f t="shared" si="17"/>
        <v>9628.48</v>
      </c>
      <c r="R214" s="6" t="str">
        <f t="shared" si="18"/>
        <v>High Sale</v>
      </c>
      <c r="S214" s="6" t="str" cm="1">
        <f t="array" ref="S214">_xlfn.IFS(L214&gt;5,"High",L214=5,"Medium",L214&lt;5,"Low")</f>
        <v>High</v>
      </c>
      <c r="T214" s="6" t="str">
        <f t="shared" si="19"/>
        <v>High</v>
      </c>
    </row>
    <row r="215" spans="1:20" x14ac:dyDescent="0.25">
      <c r="A215" s="6">
        <v>10246</v>
      </c>
      <c r="B215" s="6">
        <v>1744</v>
      </c>
      <c r="C215" s="11">
        <v>45131</v>
      </c>
      <c r="D215" s="11">
        <v>45139</v>
      </c>
      <c r="E215" s="6" t="s">
        <v>79</v>
      </c>
      <c r="F215" s="6" t="s">
        <v>92</v>
      </c>
      <c r="G215" s="6" t="s">
        <v>87</v>
      </c>
      <c r="H215" s="6" t="s">
        <v>88</v>
      </c>
      <c r="I215" s="6" t="s">
        <v>115</v>
      </c>
      <c r="J215" s="6" t="s">
        <v>116</v>
      </c>
      <c r="K215" s="6" t="s">
        <v>108</v>
      </c>
      <c r="L215" s="6">
        <v>1</v>
      </c>
      <c r="M215" s="6">
        <v>3082.45</v>
      </c>
      <c r="N215" s="13">
        <f t="shared" si="15"/>
        <v>3082.45</v>
      </c>
      <c r="O215" s="6">
        <v>5</v>
      </c>
      <c r="P215" s="6">
        <f t="shared" si="16"/>
        <v>154.1225</v>
      </c>
      <c r="Q215" s="6">
        <f t="shared" si="17"/>
        <v>2928.3274999999999</v>
      </c>
      <c r="R215" s="6" t="str">
        <f t="shared" si="18"/>
        <v>Low Sale</v>
      </c>
      <c r="S215" s="6" t="str" cm="1">
        <f t="array" ref="S215">_xlfn.IFS(L215&gt;5,"High",L215=5,"Medium",L215&lt;5,"Low")</f>
        <v>Low</v>
      </c>
      <c r="T215" s="6" t="str">
        <f t="shared" si="19"/>
        <v>Low</v>
      </c>
    </row>
    <row r="216" spans="1:20" x14ac:dyDescent="0.25">
      <c r="A216" s="6">
        <v>10247</v>
      </c>
      <c r="B216" s="6">
        <v>1258</v>
      </c>
      <c r="C216" s="11">
        <v>44996</v>
      </c>
      <c r="D216" s="11">
        <v>44998</v>
      </c>
      <c r="E216" s="6" t="s">
        <v>78</v>
      </c>
      <c r="F216" s="6" t="s">
        <v>117</v>
      </c>
      <c r="G216" s="6" t="s">
        <v>93</v>
      </c>
      <c r="H216" s="6" t="s">
        <v>98</v>
      </c>
      <c r="I216" s="6" t="s">
        <v>115</v>
      </c>
      <c r="J216" s="6" t="s">
        <v>127</v>
      </c>
      <c r="K216" s="6" t="s">
        <v>110</v>
      </c>
      <c r="L216" s="6">
        <v>7</v>
      </c>
      <c r="M216" s="6">
        <v>2102.27</v>
      </c>
      <c r="N216" s="13">
        <f t="shared" si="15"/>
        <v>14715.89</v>
      </c>
      <c r="O216" s="6">
        <v>20</v>
      </c>
      <c r="P216" s="6">
        <f t="shared" si="16"/>
        <v>2943.1779999999999</v>
      </c>
      <c r="Q216" s="6">
        <f t="shared" si="17"/>
        <v>11772.712</v>
      </c>
      <c r="R216" s="6" t="str">
        <f t="shared" si="18"/>
        <v>High Sale</v>
      </c>
      <c r="S216" s="6" t="str" cm="1">
        <f t="array" ref="S216">_xlfn.IFS(L216&gt;5,"High",L216=5,"Medium",L216&lt;5,"Low")</f>
        <v>High</v>
      </c>
      <c r="T216" s="6" t="str">
        <f t="shared" si="19"/>
        <v>High</v>
      </c>
    </row>
    <row r="217" spans="1:20" x14ac:dyDescent="0.25">
      <c r="A217" s="6">
        <v>10248</v>
      </c>
      <c r="B217" s="6">
        <v>1358</v>
      </c>
      <c r="C217" s="11">
        <v>44970</v>
      </c>
      <c r="D217" s="11">
        <v>44974</v>
      </c>
      <c r="E217" s="6" t="s">
        <v>85</v>
      </c>
      <c r="F217" s="6" t="s">
        <v>79</v>
      </c>
      <c r="G217" s="6" t="s">
        <v>93</v>
      </c>
      <c r="H217" s="6" t="s">
        <v>105</v>
      </c>
      <c r="I217" s="6" t="s">
        <v>94</v>
      </c>
      <c r="J217" s="6" t="s">
        <v>102</v>
      </c>
      <c r="K217" s="6" t="s">
        <v>84</v>
      </c>
      <c r="L217" s="6">
        <v>7</v>
      </c>
      <c r="M217" s="6">
        <v>2605.92</v>
      </c>
      <c r="N217" s="13">
        <f t="shared" si="15"/>
        <v>18241.440000000002</v>
      </c>
      <c r="O217" s="6">
        <v>20</v>
      </c>
      <c r="P217" s="6">
        <f t="shared" si="16"/>
        <v>3648.2880000000005</v>
      </c>
      <c r="Q217" s="6">
        <f t="shared" si="17"/>
        <v>14593.152000000002</v>
      </c>
      <c r="R217" s="6" t="str">
        <f t="shared" si="18"/>
        <v>High Sale</v>
      </c>
      <c r="S217" s="6" t="str" cm="1">
        <f t="array" ref="S217">_xlfn.IFS(L217&gt;5,"High",L217=5,"Medium",L217&lt;5,"Low")</f>
        <v>High</v>
      </c>
      <c r="T217" s="6" t="str">
        <f t="shared" si="19"/>
        <v>High</v>
      </c>
    </row>
    <row r="218" spans="1:20" x14ac:dyDescent="0.25">
      <c r="A218" s="6">
        <v>10249</v>
      </c>
      <c r="B218" s="6">
        <v>1709</v>
      </c>
      <c r="C218" s="11">
        <v>45255</v>
      </c>
      <c r="D218" s="11">
        <v>45263</v>
      </c>
      <c r="E218" s="6" t="s">
        <v>109</v>
      </c>
      <c r="F218" s="6" t="s">
        <v>104</v>
      </c>
      <c r="G218" s="6" t="s">
        <v>80</v>
      </c>
      <c r="H218" s="6" t="s">
        <v>81</v>
      </c>
      <c r="I218" s="6" t="s">
        <v>94</v>
      </c>
      <c r="J218" s="6" t="s">
        <v>128</v>
      </c>
      <c r="K218" s="6" t="s">
        <v>108</v>
      </c>
      <c r="L218" s="6">
        <v>1</v>
      </c>
      <c r="M218" s="6">
        <v>3942.92</v>
      </c>
      <c r="N218" s="13">
        <f t="shared" si="15"/>
        <v>3942.92</v>
      </c>
      <c r="O218" s="6">
        <v>0</v>
      </c>
      <c r="P218" s="6">
        <f t="shared" si="16"/>
        <v>0</v>
      </c>
      <c r="Q218" s="6">
        <f t="shared" si="17"/>
        <v>3942.92</v>
      </c>
      <c r="R218" s="6" t="str">
        <f t="shared" si="18"/>
        <v>Low Sale</v>
      </c>
      <c r="S218" s="6" t="str" cm="1">
        <f t="array" ref="S218">_xlfn.IFS(L218&gt;5,"High",L218=5,"Medium",L218&lt;5,"Low")</f>
        <v>Low</v>
      </c>
      <c r="T218" s="6" t="str">
        <f t="shared" si="19"/>
        <v>Low</v>
      </c>
    </row>
    <row r="219" spans="1:20" x14ac:dyDescent="0.25">
      <c r="A219" s="6">
        <v>10251</v>
      </c>
      <c r="B219" s="6">
        <v>1410</v>
      </c>
      <c r="C219" s="11">
        <v>45154</v>
      </c>
      <c r="D219" s="11">
        <v>45155</v>
      </c>
      <c r="E219" s="6" t="s">
        <v>79</v>
      </c>
      <c r="F219" s="6" t="s">
        <v>86</v>
      </c>
      <c r="G219" s="6" t="s">
        <v>80</v>
      </c>
      <c r="H219" s="6" t="s">
        <v>88</v>
      </c>
      <c r="I219" s="6" t="s">
        <v>94</v>
      </c>
      <c r="J219" s="6" t="s">
        <v>111</v>
      </c>
      <c r="K219" s="6" t="s">
        <v>91</v>
      </c>
      <c r="L219" s="6">
        <v>8</v>
      </c>
      <c r="M219" s="6">
        <v>1822.29</v>
      </c>
      <c r="N219" s="13">
        <f t="shared" si="15"/>
        <v>14578.32</v>
      </c>
      <c r="O219" s="6">
        <v>20</v>
      </c>
      <c r="P219" s="6">
        <f t="shared" si="16"/>
        <v>2915.6640000000002</v>
      </c>
      <c r="Q219" s="6">
        <f t="shared" si="17"/>
        <v>11662.655999999999</v>
      </c>
      <c r="R219" s="6" t="str">
        <f t="shared" si="18"/>
        <v>High Sale</v>
      </c>
      <c r="S219" s="6" t="str" cm="1">
        <f t="array" ref="S219">_xlfn.IFS(L219&gt;5,"High",L219=5,"Medium",L219&lt;5,"Low")</f>
        <v>High</v>
      </c>
      <c r="T219" s="6" t="str">
        <f t="shared" si="19"/>
        <v>High</v>
      </c>
    </row>
    <row r="220" spans="1:20" x14ac:dyDescent="0.25">
      <c r="A220" s="6">
        <v>10252</v>
      </c>
      <c r="B220" s="6">
        <v>1648</v>
      </c>
      <c r="C220" s="11">
        <v>45110</v>
      </c>
      <c r="D220" s="11">
        <v>45114</v>
      </c>
      <c r="E220" s="6" t="s">
        <v>100</v>
      </c>
      <c r="F220" s="6" t="s">
        <v>101</v>
      </c>
      <c r="G220" s="6" t="s">
        <v>87</v>
      </c>
      <c r="H220" s="6" t="s">
        <v>105</v>
      </c>
      <c r="I220" s="6" t="s">
        <v>115</v>
      </c>
      <c r="J220" s="6" t="s">
        <v>123</v>
      </c>
      <c r="K220" s="6" t="s">
        <v>96</v>
      </c>
      <c r="L220" s="6">
        <v>4</v>
      </c>
      <c r="M220" s="6">
        <v>1868.8</v>
      </c>
      <c r="N220" s="13">
        <f t="shared" si="15"/>
        <v>7475.2</v>
      </c>
      <c r="O220" s="6">
        <v>20</v>
      </c>
      <c r="P220" s="6">
        <f t="shared" si="16"/>
        <v>1495.04</v>
      </c>
      <c r="Q220" s="6">
        <f t="shared" si="17"/>
        <v>5980.16</v>
      </c>
      <c r="R220" s="6" t="str">
        <f t="shared" si="18"/>
        <v>Low Sale</v>
      </c>
      <c r="S220" s="6" t="str" cm="1">
        <f t="array" ref="S220">_xlfn.IFS(L220&gt;5,"High",L220=5,"Medium",L220&lt;5,"Low")</f>
        <v>Low</v>
      </c>
      <c r="T220" s="6" t="str">
        <f t="shared" si="19"/>
        <v>Low</v>
      </c>
    </row>
    <row r="221" spans="1:20" x14ac:dyDescent="0.25">
      <c r="A221" s="6">
        <v>10253</v>
      </c>
      <c r="B221" s="6">
        <v>1317</v>
      </c>
      <c r="C221" s="11">
        <v>45033</v>
      </c>
      <c r="D221" s="11">
        <v>45034</v>
      </c>
      <c r="E221" s="6" t="s">
        <v>103</v>
      </c>
      <c r="F221" s="6" t="s">
        <v>104</v>
      </c>
      <c r="G221" s="6" t="s">
        <v>87</v>
      </c>
      <c r="H221" s="6" t="s">
        <v>98</v>
      </c>
      <c r="I221" s="6" t="s">
        <v>82</v>
      </c>
      <c r="J221" s="6" t="s">
        <v>83</v>
      </c>
      <c r="K221" s="6" t="s">
        <v>110</v>
      </c>
      <c r="L221" s="6">
        <v>5</v>
      </c>
      <c r="M221" s="6">
        <v>2532.27</v>
      </c>
      <c r="N221" s="13">
        <f t="shared" si="15"/>
        <v>12661.35</v>
      </c>
      <c r="O221" s="6">
        <v>15</v>
      </c>
      <c r="P221" s="6">
        <f t="shared" si="16"/>
        <v>1899.2024999999999</v>
      </c>
      <c r="Q221" s="6">
        <f t="shared" si="17"/>
        <v>10762.147500000001</v>
      </c>
      <c r="R221" s="6" t="str">
        <f t="shared" si="18"/>
        <v>High Sale</v>
      </c>
      <c r="S221" s="6" t="str" cm="1">
        <f t="array" ref="S221">_xlfn.IFS(L221&gt;5,"High",L221=5,"Medium",L221&lt;5,"Low")</f>
        <v>Medium</v>
      </c>
      <c r="T221" s="6" t="str">
        <f t="shared" si="19"/>
        <v>Medium</v>
      </c>
    </row>
    <row r="222" spans="1:20" x14ac:dyDescent="0.25">
      <c r="A222" s="6">
        <v>10254</v>
      </c>
      <c r="B222" s="6">
        <v>1676</v>
      </c>
      <c r="C222" s="11">
        <v>45010</v>
      </c>
      <c r="D222" s="11">
        <v>45012</v>
      </c>
      <c r="E222" s="6" t="s">
        <v>85</v>
      </c>
      <c r="F222" s="6" t="s">
        <v>79</v>
      </c>
      <c r="G222" s="6" t="s">
        <v>80</v>
      </c>
      <c r="H222" s="6" t="s">
        <v>105</v>
      </c>
      <c r="I222" s="6" t="s">
        <v>115</v>
      </c>
      <c r="J222" s="6" t="s">
        <v>127</v>
      </c>
      <c r="K222" s="6" t="s">
        <v>108</v>
      </c>
      <c r="L222" s="6">
        <v>2</v>
      </c>
      <c r="M222" s="6">
        <v>2711.66</v>
      </c>
      <c r="N222" s="13">
        <f t="shared" si="15"/>
        <v>5423.32</v>
      </c>
      <c r="O222" s="6">
        <v>0</v>
      </c>
      <c r="P222" s="6">
        <f t="shared" si="16"/>
        <v>0</v>
      </c>
      <c r="Q222" s="6">
        <f t="shared" si="17"/>
        <v>5423.32</v>
      </c>
      <c r="R222" s="6" t="str">
        <f t="shared" si="18"/>
        <v>Low Sale</v>
      </c>
      <c r="S222" s="6" t="str" cm="1">
        <f t="array" ref="S222">_xlfn.IFS(L222&gt;5,"High",L222=5,"Medium",L222&lt;5,"Low")</f>
        <v>Low</v>
      </c>
      <c r="T222" s="6" t="str">
        <f t="shared" si="19"/>
        <v>Low</v>
      </c>
    </row>
    <row r="223" spans="1:20" x14ac:dyDescent="0.25">
      <c r="A223" s="6">
        <v>10257</v>
      </c>
      <c r="B223" s="6">
        <v>1233</v>
      </c>
      <c r="C223" s="11">
        <v>45289</v>
      </c>
      <c r="D223" s="11">
        <v>45297</v>
      </c>
      <c r="E223" s="6" t="s">
        <v>103</v>
      </c>
      <c r="F223" s="6" t="s">
        <v>104</v>
      </c>
      <c r="G223" s="6" t="s">
        <v>87</v>
      </c>
      <c r="H223" s="6" t="s">
        <v>107</v>
      </c>
      <c r="I223" s="6" t="s">
        <v>94</v>
      </c>
      <c r="J223" s="6" t="s">
        <v>95</v>
      </c>
      <c r="K223" s="6" t="s">
        <v>110</v>
      </c>
      <c r="L223" s="6">
        <v>3</v>
      </c>
      <c r="M223" s="6">
        <v>240.6</v>
      </c>
      <c r="N223" s="13">
        <f t="shared" si="15"/>
        <v>721.8</v>
      </c>
      <c r="O223" s="6">
        <v>5</v>
      </c>
      <c r="P223" s="6">
        <f t="shared" si="16"/>
        <v>36.089999999999996</v>
      </c>
      <c r="Q223" s="6">
        <f t="shared" si="17"/>
        <v>685.70999999999992</v>
      </c>
      <c r="R223" s="6" t="str">
        <f t="shared" si="18"/>
        <v>Low Sale</v>
      </c>
      <c r="S223" s="6" t="str" cm="1">
        <f t="array" ref="S223">_xlfn.IFS(L223&gt;5,"High",L223=5,"Medium",L223&lt;5,"Low")</f>
        <v>Low</v>
      </c>
      <c r="T223" s="6" t="str">
        <f t="shared" si="19"/>
        <v>Low</v>
      </c>
    </row>
    <row r="224" spans="1:20" x14ac:dyDescent="0.25">
      <c r="A224" s="6">
        <v>10260</v>
      </c>
      <c r="B224" s="6">
        <v>1974</v>
      </c>
      <c r="C224" s="11">
        <v>45104</v>
      </c>
      <c r="D224" s="11">
        <v>45110</v>
      </c>
      <c r="E224" s="6" t="s">
        <v>85</v>
      </c>
      <c r="F224" s="6" t="s">
        <v>104</v>
      </c>
      <c r="G224" s="6" t="s">
        <v>80</v>
      </c>
      <c r="H224" s="6" t="s">
        <v>105</v>
      </c>
      <c r="I224" s="6" t="s">
        <v>94</v>
      </c>
      <c r="J224" s="6" t="s">
        <v>128</v>
      </c>
      <c r="K224" s="6" t="s">
        <v>91</v>
      </c>
      <c r="L224" s="6">
        <v>3</v>
      </c>
      <c r="M224" s="6">
        <v>647.32000000000005</v>
      </c>
      <c r="N224" s="13">
        <f t="shared" si="15"/>
        <v>1941.96</v>
      </c>
      <c r="O224" s="6">
        <v>5</v>
      </c>
      <c r="P224" s="6">
        <f t="shared" si="16"/>
        <v>97.098000000000013</v>
      </c>
      <c r="Q224" s="6">
        <f t="shared" si="17"/>
        <v>1844.8620000000001</v>
      </c>
      <c r="R224" s="6" t="str">
        <f t="shared" si="18"/>
        <v>Low Sale</v>
      </c>
      <c r="S224" s="6" t="str" cm="1">
        <f t="array" ref="S224">_xlfn.IFS(L224&gt;5,"High",L224=5,"Medium",L224&lt;5,"Low")</f>
        <v>Low</v>
      </c>
      <c r="T224" s="6" t="str">
        <f t="shared" si="19"/>
        <v>Low</v>
      </c>
    </row>
    <row r="225" spans="1:20" x14ac:dyDescent="0.25">
      <c r="A225" s="6">
        <v>10261</v>
      </c>
      <c r="B225" s="6">
        <v>1826</v>
      </c>
      <c r="C225" s="11">
        <v>44933</v>
      </c>
      <c r="D225" s="11">
        <v>44936</v>
      </c>
      <c r="E225" s="6" t="s">
        <v>78</v>
      </c>
      <c r="F225" s="6" t="s">
        <v>117</v>
      </c>
      <c r="G225" s="6" t="s">
        <v>87</v>
      </c>
      <c r="H225" s="6" t="s">
        <v>88</v>
      </c>
      <c r="I225" s="6" t="s">
        <v>94</v>
      </c>
      <c r="J225" s="6" t="s">
        <v>95</v>
      </c>
      <c r="K225" s="6" t="s">
        <v>96</v>
      </c>
      <c r="L225" s="6">
        <v>2</v>
      </c>
      <c r="M225" s="6">
        <v>533.25</v>
      </c>
      <c r="N225" s="13">
        <f t="shared" si="15"/>
        <v>1066.5</v>
      </c>
      <c r="O225" s="6">
        <v>0</v>
      </c>
      <c r="P225" s="6">
        <f t="shared" si="16"/>
        <v>0</v>
      </c>
      <c r="Q225" s="6">
        <f t="shared" si="17"/>
        <v>1066.5</v>
      </c>
      <c r="R225" s="6" t="str">
        <f t="shared" si="18"/>
        <v>Low Sale</v>
      </c>
      <c r="S225" s="6" t="str" cm="1">
        <f t="array" ref="S225">_xlfn.IFS(L225&gt;5,"High",L225=5,"Medium",L225&lt;5,"Low")</f>
        <v>Low</v>
      </c>
      <c r="T225" s="6" t="str">
        <f t="shared" si="19"/>
        <v>Low</v>
      </c>
    </row>
    <row r="226" spans="1:20" x14ac:dyDescent="0.25">
      <c r="A226" s="6">
        <v>10262</v>
      </c>
      <c r="B226" s="6">
        <v>1373</v>
      </c>
      <c r="C226" s="11">
        <v>44996</v>
      </c>
      <c r="D226" s="11">
        <v>44998</v>
      </c>
      <c r="E226" s="6" t="s">
        <v>78</v>
      </c>
      <c r="F226" s="6" t="s">
        <v>86</v>
      </c>
      <c r="G226" s="6" t="s">
        <v>80</v>
      </c>
      <c r="H226" s="6" t="s">
        <v>107</v>
      </c>
      <c r="I226" s="6" t="s">
        <v>120</v>
      </c>
      <c r="J226" s="6" t="s">
        <v>122</v>
      </c>
      <c r="K226" s="6" t="s">
        <v>84</v>
      </c>
      <c r="L226" s="6">
        <v>7</v>
      </c>
      <c r="M226" s="6">
        <v>2472.29</v>
      </c>
      <c r="N226" s="13">
        <f t="shared" si="15"/>
        <v>17306.03</v>
      </c>
      <c r="O226" s="6">
        <v>10</v>
      </c>
      <c r="P226" s="6">
        <f t="shared" si="16"/>
        <v>1730.6030000000001</v>
      </c>
      <c r="Q226" s="6">
        <f t="shared" si="17"/>
        <v>15575.427</v>
      </c>
      <c r="R226" s="6" t="str">
        <f t="shared" si="18"/>
        <v>High Sale</v>
      </c>
      <c r="S226" s="6" t="str" cm="1">
        <f t="array" ref="S226">_xlfn.IFS(L226&gt;5,"High",L226=5,"Medium",L226&lt;5,"Low")</f>
        <v>High</v>
      </c>
      <c r="T226" s="6" t="str">
        <f t="shared" si="19"/>
        <v>High</v>
      </c>
    </row>
    <row r="227" spans="1:20" x14ac:dyDescent="0.25">
      <c r="A227" s="6">
        <v>10263</v>
      </c>
      <c r="B227" s="6">
        <v>1671</v>
      </c>
      <c r="C227" s="11">
        <v>45053</v>
      </c>
      <c r="D227" s="11">
        <v>45059</v>
      </c>
      <c r="E227" s="6" t="s">
        <v>103</v>
      </c>
      <c r="F227" s="6" t="s">
        <v>101</v>
      </c>
      <c r="G227" s="6" t="s">
        <v>93</v>
      </c>
      <c r="H227" s="6" t="s">
        <v>98</v>
      </c>
      <c r="I227" s="6" t="s">
        <v>112</v>
      </c>
      <c r="J227" s="6" t="s">
        <v>126</v>
      </c>
      <c r="K227" s="6" t="s">
        <v>96</v>
      </c>
      <c r="L227" s="6">
        <v>7</v>
      </c>
      <c r="M227" s="6">
        <v>2165.86</v>
      </c>
      <c r="N227" s="13">
        <f t="shared" si="15"/>
        <v>15161.02</v>
      </c>
      <c r="O227" s="6">
        <v>0</v>
      </c>
      <c r="P227" s="6">
        <f t="shared" si="16"/>
        <v>0</v>
      </c>
      <c r="Q227" s="6">
        <f t="shared" si="17"/>
        <v>15161.02</v>
      </c>
      <c r="R227" s="6" t="str">
        <f t="shared" si="18"/>
        <v>High Sale</v>
      </c>
      <c r="S227" s="6" t="str" cm="1">
        <f t="array" ref="S227">_xlfn.IFS(L227&gt;5,"High",L227=5,"Medium",L227&lt;5,"Low")</f>
        <v>High</v>
      </c>
      <c r="T227" s="6" t="str">
        <f t="shared" si="19"/>
        <v>High</v>
      </c>
    </row>
    <row r="228" spans="1:20" x14ac:dyDescent="0.25">
      <c r="A228" s="6">
        <v>10264</v>
      </c>
      <c r="B228" s="6">
        <v>1607</v>
      </c>
      <c r="C228" s="11">
        <v>45086</v>
      </c>
      <c r="D228" s="11">
        <v>45091</v>
      </c>
      <c r="E228" s="6" t="s">
        <v>78</v>
      </c>
      <c r="F228" s="6" t="s">
        <v>79</v>
      </c>
      <c r="G228" s="6" t="s">
        <v>93</v>
      </c>
      <c r="H228" s="6" t="s">
        <v>107</v>
      </c>
      <c r="I228" s="6" t="s">
        <v>115</v>
      </c>
      <c r="J228" s="6" t="s">
        <v>123</v>
      </c>
      <c r="K228" s="6" t="s">
        <v>110</v>
      </c>
      <c r="L228" s="6">
        <v>4</v>
      </c>
      <c r="M228" s="6">
        <v>1126.3</v>
      </c>
      <c r="N228" s="13">
        <f t="shared" si="15"/>
        <v>4505.2</v>
      </c>
      <c r="O228" s="6">
        <v>20</v>
      </c>
      <c r="P228" s="6">
        <f t="shared" si="16"/>
        <v>901.04</v>
      </c>
      <c r="Q228" s="6">
        <f t="shared" si="17"/>
        <v>3604.16</v>
      </c>
      <c r="R228" s="6" t="str">
        <f t="shared" si="18"/>
        <v>Low Sale</v>
      </c>
      <c r="S228" s="6" t="str" cm="1">
        <f t="array" ref="S228">_xlfn.IFS(L228&gt;5,"High",L228=5,"Medium",L228&lt;5,"Low")</f>
        <v>Low</v>
      </c>
      <c r="T228" s="6" t="str">
        <f t="shared" si="19"/>
        <v>Low</v>
      </c>
    </row>
    <row r="229" spans="1:20" x14ac:dyDescent="0.25">
      <c r="A229" s="6">
        <v>10266</v>
      </c>
      <c r="B229" s="6">
        <v>1232</v>
      </c>
      <c r="C229" s="11">
        <v>45129</v>
      </c>
      <c r="D229" s="11">
        <v>45134</v>
      </c>
      <c r="E229" s="6" t="s">
        <v>103</v>
      </c>
      <c r="F229" s="6" t="s">
        <v>79</v>
      </c>
      <c r="G229" s="6" t="s">
        <v>93</v>
      </c>
      <c r="H229" s="6" t="s">
        <v>98</v>
      </c>
      <c r="I229" s="6" t="s">
        <v>89</v>
      </c>
      <c r="J229" s="6" t="s">
        <v>124</v>
      </c>
      <c r="K229" s="6" t="s">
        <v>96</v>
      </c>
      <c r="L229" s="6">
        <v>8</v>
      </c>
      <c r="M229" s="6">
        <v>2045.09</v>
      </c>
      <c r="N229" s="13">
        <f t="shared" si="15"/>
        <v>16360.72</v>
      </c>
      <c r="O229" s="6">
        <v>10</v>
      </c>
      <c r="P229" s="6">
        <f t="shared" si="16"/>
        <v>1636.0720000000001</v>
      </c>
      <c r="Q229" s="6">
        <f t="shared" si="17"/>
        <v>14724.647999999999</v>
      </c>
      <c r="R229" s="6" t="str">
        <f t="shared" si="18"/>
        <v>High Sale</v>
      </c>
      <c r="S229" s="6" t="str" cm="1">
        <f t="array" ref="S229">_xlfn.IFS(L229&gt;5,"High",L229=5,"Medium",L229&lt;5,"Low")</f>
        <v>High</v>
      </c>
      <c r="T229" s="6" t="str">
        <f t="shared" si="19"/>
        <v>High</v>
      </c>
    </row>
    <row r="230" spans="1:20" x14ac:dyDescent="0.25">
      <c r="A230" s="6">
        <v>10267</v>
      </c>
      <c r="B230" s="6">
        <v>1691</v>
      </c>
      <c r="C230" s="11">
        <v>45074</v>
      </c>
      <c r="D230" s="11">
        <v>45079</v>
      </c>
      <c r="E230" s="6" t="s">
        <v>103</v>
      </c>
      <c r="F230" s="6" t="s">
        <v>101</v>
      </c>
      <c r="G230" s="6" t="s">
        <v>93</v>
      </c>
      <c r="H230" s="6" t="s">
        <v>107</v>
      </c>
      <c r="I230" s="6" t="s">
        <v>115</v>
      </c>
      <c r="J230" s="6" t="s">
        <v>116</v>
      </c>
      <c r="K230" s="6" t="s">
        <v>110</v>
      </c>
      <c r="L230" s="6">
        <v>1</v>
      </c>
      <c r="M230" s="6">
        <v>900.78</v>
      </c>
      <c r="N230" s="13">
        <f t="shared" si="15"/>
        <v>900.78</v>
      </c>
      <c r="O230" s="6">
        <v>5</v>
      </c>
      <c r="P230" s="6">
        <f t="shared" si="16"/>
        <v>45.039000000000001</v>
      </c>
      <c r="Q230" s="6">
        <f t="shared" si="17"/>
        <v>855.74099999999999</v>
      </c>
      <c r="R230" s="6" t="str">
        <f t="shared" si="18"/>
        <v>Low Sale</v>
      </c>
      <c r="S230" s="6" t="str" cm="1">
        <f t="array" ref="S230">_xlfn.IFS(L230&gt;5,"High",L230=5,"Medium",L230&lt;5,"Low")</f>
        <v>Low</v>
      </c>
      <c r="T230" s="6" t="str">
        <f t="shared" si="19"/>
        <v>Low</v>
      </c>
    </row>
    <row r="231" spans="1:20" x14ac:dyDescent="0.25">
      <c r="A231" s="6">
        <v>10268</v>
      </c>
      <c r="B231" s="6">
        <v>1112</v>
      </c>
      <c r="C231" s="11">
        <v>45069</v>
      </c>
      <c r="D231" s="11">
        <v>45072</v>
      </c>
      <c r="E231" s="6" t="s">
        <v>100</v>
      </c>
      <c r="F231" s="6" t="s">
        <v>79</v>
      </c>
      <c r="G231" s="6" t="s">
        <v>93</v>
      </c>
      <c r="H231" s="6" t="s">
        <v>105</v>
      </c>
      <c r="I231" s="6" t="s">
        <v>94</v>
      </c>
      <c r="J231" s="6" t="s">
        <v>102</v>
      </c>
      <c r="K231" s="6" t="s">
        <v>91</v>
      </c>
      <c r="L231" s="6">
        <v>1</v>
      </c>
      <c r="M231" s="6">
        <v>2660.56</v>
      </c>
      <c r="N231" s="13">
        <f t="shared" si="15"/>
        <v>2660.56</v>
      </c>
      <c r="O231" s="6">
        <v>10</v>
      </c>
      <c r="P231" s="6">
        <f t="shared" si="16"/>
        <v>266.05599999999998</v>
      </c>
      <c r="Q231" s="6">
        <f t="shared" si="17"/>
        <v>2394.5039999999999</v>
      </c>
      <c r="R231" s="6" t="str">
        <f t="shared" si="18"/>
        <v>Low Sale</v>
      </c>
      <c r="S231" s="6" t="str" cm="1">
        <f t="array" ref="S231">_xlfn.IFS(L231&gt;5,"High",L231=5,"Medium",L231&lt;5,"Low")</f>
        <v>Low</v>
      </c>
      <c r="T231" s="6" t="str">
        <f t="shared" si="19"/>
        <v>Low</v>
      </c>
    </row>
    <row r="232" spans="1:20" x14ac:dyDescent="0.25">
      <c r="A232" s="6">
        <v>10269</v>
      </c>
      <c r="B232" s="6">
        <v>1829</v>
      </c>
      <c r="C232" s="11">
        <v>45125</v>
      </c>
      <c r="D232" s="11">
        <v>45132</v>
      </c>
      <c r="E232" s="6" t="s">
        <v>78</v>
      </c>
      <c r="F232" s="6" t="s">
        <v>104</v>
      </c>
      <c r="G232" s="6" t="s">
        <v>87</v>
      </c>
      <c r="H232" s="6" t="s">
        <v>98</v>
      </c>
      <c r="I232" s="6" t="s">
        <v>112</v>
      </c>
      <c r="J232" s="6" t="s">
        <v>114</v>
      </c>
      <c r="K232" s="6" t="s">
        <v>110</v>
      </c>
      <c r="L232" s="6">
        <v>5</v>
      </c>
      <c r="M232" s="6">
        <v>3156.54</v>
      </c>
      <c r="N232" s="13">
        <f t="shared" si="15"/>
        <v>15782.7</v>
      </c>
      <c r="O232" s="6">
        <v>20</v>
      </c>
      <c r="P232" s="6">
        <f t="shared" si="16"/>
        <v>3156.5400000000004</v>
      </c>
      <c r="Q232" s="6">
        <f t="shared" si="17"/>
        <v>12626.16</v>
      </c>
      <c r="R232" s="6" t="str">
        <f t="shared" si="18"/>
        <v>High Sale</v>
      </c>
      <c r="S232" s="6" t="str" cm="1">
        <f t="array" ref="S232">_xlfn.IFS(L232&gt;5,"High",L232=5,"Medium",L232&lt;5,"Low")</f>
        <v>Medium</v>
      </c>
      <c r="T232" s="6" t="str">
        <f t="shared" si="19"/>
        <v>Medium</v>
      </c>
    </row>
    <row r="233" spans="1:20" x14ac:dyDescent="0.25">
      <c r="A233" s="6">
        <v>10270</v>
      </c>
      <c r="B233" s="6">
        <v>1496</v>
      </c>
      <c r="C233" s="11">
        <v>45080</v>
      </c>
      <c r="D233" s="11">
        <v>45086</v>
      </c>
      <c r="E233" s="6" t="s">
        <v>85</v>
      </c>
      <c r="F233" s="6" t="s">
        <v>92</v>
      </c>
      <c r="G233" s="6" t="s">
        <v>87</v>
      </c>
      <c r="H233" s="6" t="s">
        <v>98</v>
      </c>
      <c r="I233" s="6" t="s">
        <v>94</v>
      </c>
      <c r="J233" s="6" t="s">
        <v>128</v>
      </c>
      <c r="K233" s="6" t="s">
        <v>108</v>
      </c>
      <c r="L233" s="6">
        <v>6</v>
      </c>
      <c r="M233" s="6">
        <v>3197.13</v>
      </c>
      <c r="N233" s="13">
        <f t="shared" si="15"/>
        <v>19182.78</v>
      </c>
      <c r="O233" s="6">
        <v>10</v>
      </c>
      <c r="P233" s="6">
        <f t="shared" si="16"/>
        <v>1918.278</v>
      </c>
      <c r="Q233" s="6">
        <f t="shared" si="17"/>
        <v>17264.502</v>
      </c>
      <c r="R233" s="6" t="str">
        <f t="shared" si="18"/>
        <v>High Sale</v>
      </c>
      <c r="S233" s="6" t="str" cm="1">
        <f t="array" ref="S233">_xlfn.IFS(L233&gt;5,"High",L233=5,"Medium",L233&lt;5,"Low")</f>
        <v>High</v>
      </c>
      <c r="T233" s="6" t="str">
        <f t="shared" si="19"/>
        <v>High</v>
      </c>
    </row>
    <row r="234" spans="1:20" x14ac:dyDescent="0.25">
      <c r="A234" s="6">
        <v>10271</v>
      </c>
      <c r="B234" s="6">
        <v>1441</v>
      </c>
      <c r="C234" s="11">
        <v>45068</v>
      </c>
      <c r="D234" s="11">
        <v>45072</v>
      </c>
      <c r="E234" s="6" t="s">
        <v>103</v>
      </c>
      <c r="F234" s="6" t="s">
        <v>79</v>
      </c>
      <c r="G234" s="6" t="s">
        <v>93</v>
      </c>
      <c r="H234" s="6" t="s">
        <v>88</v>
      </c>
      <c r="I234" s="6" t="s">
        <v>82</v>
      </c>
      <c r="J234" s="6" t="s">
        <v>132</v>
      </c>
      <c r="K234" s="6" t="s">
        <v>110</v>
      </c>
      <c r="L234" s="6">
        <v>3</v>
      </c>
      <c r="M234" s="6">
        <v>2469.5100000000002</v>
      </c>
      <c r="N234" s="13">
        <f t="shared" si="15"/>
        <v>7408.5300000000007</v>
      </c>
      <c r="O234" s="6">
        <v>0</v>
      </c>
      <c r="P234" s="6">
        <f t="shared" si="16"/>
        <v>0</v>
      </c>
      <c r="Q234" s="6">
        <f t="shared" si="17"/>
        <v>7408.5300000000007</v>
      </c>
      <c r="R234" s="6" t="str">
        <f t="shared" si="18"/>
        <v>Low Sale</v>
      </c>
      <c r="S234" s="6" t="str" cm="1">
        <f t="array" ref="S234">_xlfn.IFS(L234&gt;5,"High",L234=5,"Medium",L234&lt;5,"Low")</f>
        <v>Low</v>
      </c>
      <c r="T234" s="6" t="str">
        <f t="shared" si="19"/>
        <v>Low</v>
      </c>
    </row>
    <row r="235" spans="1:20" x14ac:dyDescent="0.25">
      <c r="A235" s="6">
        <v>10273</v>
      </c>
      <c r="B235" s="6">
        <v>1267</v>
      </c>
      <c r="C235" s="11">
        <v>45091</v>
      </c>
      <c r="D235" s="11">
        <v>45100</v>
      </c>
      <c r="E235" s="6" t="s">
        <v>109</v>
      </c>
      <c r="F235" s="6" t="s">
        <v>117</v>
      </c>
      <c r="G235" s="6" t="s">
        <v>93</v>
      </c>
      <c r="H235" s="6" t="s">
        <v>81</v>
      </c>
      <c r="I235" s="6" t="s">
        <v>94</v>
      </c>
      <c r="J235" s="6" t="s">
        <v>102</v>
      </c>
      <c r="K235" s="6" t="s">
        <v>108</v>
      </c>
      <c r="L235" s="6">
        <v>6</v>
      </c>
      <c r="M235" s="6">
        <v>384.88</v>
      </c>
      <c r="N235" s="13">
        <f t="shared" si="15"/>
        <v>2309.2799999999997</v>
      </c>
      <c r="O235" s="6">
        <v>5</v>
      </c>
      <c r="P235" s="6">
        <f t="shared" si="16"/>
        <v>115.464</v>
      </c>
      <c r="Q235" s="6">
        <f t="shared" si="17"/>
        <v>2193.8159999999998</v>
      </c>
      <c r="R235" s="6" t="str">
        <f t="shared" si="18"/>
        <v>High Sale</v>
      </c>
      <c r="S235" s="6" t="str" cm="1">
        <f t="array" ref="S235">_xlfn.IFS(L235&gt;5,"High",L235=5,"Medium",L235&lt;5,"Low")</f>
        <v>High</v>
      </c>
      <c r="T235" s="6" t="str">
        <f t="shared" si="19"/>
        <v>High</v>
      </c>
    </row>
    <row r="236" spans="1:20" x14ac:dyDescent="0.25">
      <c r="A236" s="6">
        <v>10274</v>
      </c>
      <c r="B236" s="6">
        <v>1509</v>
      </c>
      <c r="C236" s="11">
        <v>45240</v>
      </c>
      <c r="D236" s="11">
        <v>45241</v>
      </c>
      <c r="E236" s="6" t="s">
        <v>100</v>
      </c>
      <c r="F236" s="6" t="s">
        <v>79</v>
      </c>
      <c r="G236" s="6" t="s">
        <v>87</v>
      </c>
      <c r="H236" s="6" t="s">
        <v>107</v>
      </c>
      <c r="I236" s="6" t="s">
        <v>115</v>
      </c>
      <c r="J236" s="6" t="s">
        <v>123</v>
      </c>
      <c r="K236" s="6" t="s">
        <v>96</v>
      </c>
      <c r="L236" s="6">
        <v>4</v>
      </c>
      <c r="M236" s="6">
        <v>1258.1500000000001</v>
      </c>
      <c r="N236" s="13">
        <f t="shared" si="15"/>
        <v>5032.6000000000004</v>
      </c>
      <c r="O236" s="6">
        <v>0</v>
      </c>
      <c r="P236" s="6">
        <f t="shared" si="16"/>
        <v>0</v>
      </c>
      <c r="Q236" s="6">
        <f t="shared" si="17"/>
        <v>5032.6000000000004</v>
      </c>
      <c r="R236" s="6" t="str">
        <f t="shared" si="18"/>
        <v>Low Sale</v>
      </c>
      <c r="S236" s="6" t="str" cm="1">
        <f t="array" ref="S236">_xlfn.IFS(L236&gt;5,"High",L236=5,"Medium",L236&lt;5,"Low")</f>
        <v>Low</v>
      </c>
      <c r="T236" s="6" t="str">
        <f t="shared" si="19"/>
        <v>Low</v>
      </c>
    </row>
    <row r="237" spans="1:20" x14ac:dyDescent="0.25">
      <c r="A237" s="6">
        <v>10275</v>
      </c>
      <c r="B237" s="6">
        <v>1806</v>
      </c>
      <c r="C237" s="11">
        <v>44947</v>
      </c>
      <c r="D237" s="11">
        <v>44951</v>
      </c>
      <c r="E237" s="6" t="s">
        <v>79</v>
      </c>
      <c r="F237" s="6" t="s">
        <v>117</v>
      </c>
      <c r="G237" s="6" t="s">
        <v>87</v>
      </c>
      <c r="H237" s="6" t="s">
        <v>88</v>
      </c>
      <c r="I237" s="6" t="s">
        <v>115</v>
      </c>
      <c r="J237" s="6" t="s">
        <v>127</v>
      </c>
      <c r="K237" s="6" t="s">
        <v>96</v>
      </c>
      <c r="L237" s="6">
        <v>7</v>
      </c>
      <c r="M237" s="6">
        <v>509.1</v>
      </c>
      <c r="N237" s="13">
        <f t="shared" si="15"/>
        <v>3563.7000000000003</v>
      </c>
      <c r="O237" s="6">
        <v>15</v>
      </c>
      <c r="P237" s="6">
        <f t="shared" si="16"/>
        <v>534.55500000000006</v>
      </c>
      <c r="Q237" s="6">
        <f t="shared" si="17"/>
        <v>3029.1450000000004</v>
      </c>
      <c r="R237" s="6" t="str">
        <f t="shared" si="18"/>
        <v>High Sale</v>
      </c>
      <c r="S237" s="6" t="str" cm="1">
        <f t="array" ref="S237">_xlfn.IFS(L237&gt;5,"High",L237=5,"Medium",L237&lt;5,"Low")</f>
        <v>High</v>
      </c>
      <c r="T237" s="6" t="str">
        <f t="shared" si="19"/>
        <v>High</v>
      </c>
    </row>
    <row r="238" spans="1:20" x14ac:dyDescent="0.25">
      <c r="A238" s="6">
        <v>10277</v>
      </c>
      <c r="B238" s="6">
        <v>1386</v>
      </c>
      <c r="C238" s="11">
        <v>44995</v>
      </c>
      <c r="D238" s="11">
        <v>45001</v>
      </c>
      <c r="E238" s="6" t="s">
        <v>103</v>
      </c>
      <c r="F238" s="6" t="s">
        <v>104</v>
      </c>
      <c r="G238" s="6" t="s">
        <v>93</v>
      </c>
      <c r="H238" s="6" t="s">
        <v>81</v>
      </c>
      <c r="I238" s="6" t="s">
        <v>89</v>
      </c>
      <c r="J238" s="6" t="s">
        <v>131</v>
      </c>
      <c r="K238" s="6" t="s">
        <v>108</v>
      </c>
      <c r="L238" s="6">
        <v>9</v>
      </c>
      <c r="M238" s="6">
        <v>670.06</v>
      </c>
      <c r="N238" s="13">
        <f t="shared" si="15"/>
        <v>6030.5399999999991</v>
      </c>
      <c r="O238" s="6">
        <v>20</v>
      </c>
      <c r="P238" s="6">
        <f t="shared" si="16"/>
        <v>1206.1079999999999</v>
      </c>
      <c r="Q238" s="6">
        <f t="shared" si="17"/>
        <v>4824.4319999999989</v>
      </c>
      <c r="R238" s="6" t="str">
        <f t="shared" si="18"/>
        <v>High Sale</v>
      </c>
      <c r="S238" s="6" t="str" cm="1">
        <f t="array" ref="S238">_xlfn.IFS(L238&gt;5,"High",L238=5,"Medium",L238&lt;5,"Low")</f>
        <v>High</v>
      </c>
      <c r="T238" s="6" t="str">
        <f t="shared" si="19"/>
        <v>High</v>
      </c>
    </row>
    <row r="239" spans="1:20" x14ac:dyDescent="0.25">
      <c r="A239" s="6">
        <v>10280</v>
      </c>
      <c r="B239" s="6">
        <v>1624</v>
      </c>
      <c r="C239" s="11">
        <v>45144</v>
      </c>
      <c r="D239" s="11">
        <v>45149</v>
      </c>
      <c r="E239" s="6" t="s">
        <v>109</v>
      </c>
      <c r="F239" s="6" t="s">
        <v>104</v>
      </c>
      <c r="G239" s="6" t="s">
        <v>87</v>
      </c>
      <c r="H239" s="6" t="s">
        <v>81</v>
      </c>
      <c r="I239" s="6" t="s">
        <v>112</v>
      </c>
      <c r="J239" s="6" t="s">
        <v>130</v>
      </c>
      <c r="K239" s="6" t="s">
        <v>96</v>
      </c>
      <c r="L239" s="6">
        <v>8</v>
      </c>
      <c r="M239" s="6">
        <v>3784.12</v>
      </c>
      <c r="N239" s="13">
        <f t="shared" si="15"/>
        <v>30272.959999999999</v>
      </c>
      <c r="O239" s="6">
        <v>15</v>
      </c>
      <c r="P239" s="6">
        <f t="shared" si="16"/>
        <v>4540.9439999999995</v>
      </c>
      <c r="Q239" s="6">
        <f t="shared" si="17"/>
        <v>25732.016</v>
      </c>
      <c r="R239" s="6" t="str">
        <f t="shared" si="18"/>
        <v>High Sale</v>
      </c>
      <c r="S239" s="6" t="str" cm="1">
        <f t="array" ref="S239">_xlfn.IFS(L239&gt;5,"High",L239=5,"Medium",L239&lt;5,"Low")</f>
        <v>High</v>
      </c>
      <c r="T239" s="6" t="str">
        <f t="shared" si="19"/>
        <v>High</v>
      </c>
    </row>
    <row r="240" spans="1:20" x14ac:dyDescent="0.25">
      <c r="A240" s="6">
        <v>10281</v>
      </c>
      <c r="B240" s="6">
        <v>1951</v>
      </c>
      <c r="C240" s="11">
        <v>45231</v>
      </c>
      <c r="D240" s="11">
        <v>45240</v>
      </c>
      <c r="E240" s="6" t="s">
        <v>109</v>
      </c>
      <c r="F240" s="6" t="s">
        <v>117</v>
      </c>
      <c r="G240" s="6" t="s">
        <v>93</v>
      </c>
      <c r="H240" s="6" t="s">
        <v>107</v>
      </c>
      <c r="I240" s="6" t="s">
        <v>89</v>
      </c>
      <c r="J240" s="6" t="s">
        <v>131</v>
      </c>
      <c r="K240" s="6" t="s">
        <v>84</v>
      </c>
      <c r="L240" s="6">
        <v>5</v>
      </c>
      <c r="M240" s="6">
        <v>3098.44</v>
      </c>
      <c r="N240" s="13">
        <f t="shared" si="15"/>
        <v>15492.2</v>
      </c>
      <c r="O240" s="6">
        <v>0</v>
      </c>
      <c r="P240" s="6">
        <f t="shared" si="16"/>
        <v>0</v>
      </c>
      <c r="Q240" s="6">
        <f t="shared" si="17"/>
        <v>15492.2</v>
      </c>
      <c r="R240" s="6" t="str">
        <f t="shared" si="18"/>
        <v>High Sale</v>
      </c>
      <c r="S240" s="6" t="str" cm="1">
        <f t="array" ref="S240">_xlfn.IFS(L240&gt;5,"High",L240=5,"Medium",L240&lt;5,"Low")</f>
        <v>Medium</v>
      </c>
      <c r="T240" s="6" t="str">
        <f t="shared" si="19"/>
        <v>Medium</v>
      </c>
    </row>
    <row r="241" spans="1:20" x14ac:dyDescent="0.25">
      <c r="A241" s="6">
        <v>10286</v>
      </c>
      <c r="B241" s="6">
        <v>1641</v>
      </c>
      <c r="C241" s="11">
        <v>45043</v>
      </c>
      <c r="D241" s="11">
        <v>45050</v>
      </c>
      <c r="E241" s="6" t="s">
        <v>78</v>
      </c>
      <c r="F241" s="6" t="s">
        <v>92</v>
      </c>
      <c r="G241" s="6" t="s">
        <v>80</v>
      </c>
      <c r="H241" s="6" t="s">
        <v>107</v>
      </c>
      <c r="I241" s="6" t="s">
        <v>120</v>
      </c>
      <c r="J241" s="6" t="s">
        <v>121</v>
      </c>
      <c r="K241" s="6" t="s">
        <v>91</v>
      </c>
      <c r="L241" s="6">
        <v>6</v>
      </c>
      <c r="M241" s="6">
        <v>220.79</v>
      </c>
      <c r="N241" s="13">
        <f t="shared" si="15"/>
        <v>1324.74</v>
      </c>
      <c r="O241" s="6">
        <v>5</v>
      </c>
      <c r="P241" s="6">
        <f t="shared" si="16"/>
        <v>66.237000000000009</v>
      </c>
      <c r="Q241" s="6">
        <f t="shared" si="17"/>
        <v>1258.5029999999999</v>
      </c>
      <c r="R241" s="6" t="str">
        <f t="shared" si="18"/>
        <v>High Sale</v>
      </c>
      <c r="S241" s="6" t="str" cm="1">
        <f t="array" ref="S241">_xlfn.IFS(L241&gt;5,"High",L241=5,"Medium",L241&lt;5,"Low")</f>
        <v>High</v>
      </c>
      <c r="T241" s="6" t="str">
        <f t="shared" si="19"/>
        <v>High</v>
      </c>
    </row>
    <row r="242" spans="1:20" x14ac:dyDescent="0.25">
      <c r="A242" s="6">
        <v>10287</v>
      </c>
      <c r="B242" s="6">
        <v>1219</v>
      </c>
      <c r="C242" s="11">
        <v>45122</v>
      </c>
      <c r="D242" s="11">
        <v>45125</v>
      </c>
      <c r="E242" s="6" t="s">
        <v>85</v>
      </c>
      <c r="F242" s="6" t="s">
        <v>101</v>
      </c>
      <c r="G242" s="6" t="s">
        <v>87</v>
      </c>
      <c r="H242" s="6" t="s">
        <v>81</v>
      </c>
      <c r="I242" s="6" t="s">
        <v>120</v>
      </c>
      <c r="J242" s="6" t="s">
        <v>129</v>
      </c>
      <c r="K242" s="6" t="s">
        <v>84</v>
      </c>
      <c r="L242" s="6">
        <v>6</v>
      </c>
      <c r="M242" s="6">
        <v>1936.66</v>
      </c>
      <c r="N242" s="13">
        <f t="shared" si="15"/>
        <v>11619.960000000001</v>
      </c>
      <c r="O242" s="6">
        <v>0</v>
      </c>
      <c r="P242" s="6">
        <f t="shared" si="16"/>
        <v>0</v>
      </c>
      <c r="Q242" s="6">
        <f t="shared" si="17"/>
        <v>11619.960000000001</v>
      </c>
      <c r="R242" s="6" t="str">
        <f t="shared" si="18"/>
        <v>High Sale</v>
      </c>
      <c r="S242" s="6" t="str" cm="1">
        <f t="array" ref="S242">_xlfn.IFS(L242&gt;5,"High",L242=5,"Medium",L242&lt;5,"Low")</f>
        <v>High</v>
      </c>
      <c r="T242" s="6" t="str">
        <f t="shared" si="19"/>
        <v>High</v>
      </c>
    </row>
    <row r="243" spans="1:20" x14ac:dyDescent="0.25">
      <c r="A243" s="6">
        <v>10289</v>
      </c>
      <c r="B243" s="6">
        <v>1854</v>
      </c>
      <c r="C243" s="11">
        <v>45012</v>
      </c>
      <c r="D243" s="11">
        <v>45014</v>
      </c>
      <c r="E243" s="6" t="s">
        <v>100</v>
      </c>
      <c r="F243" s="6" t="s">
        <v>117</v>
      </c>
      <c r="G243" s="6" t="s">
        <v>80</v>
      </c>
      <c r="H243" s="6" t="s">
        <v>88</v>
      </c>
      <c r="I243" s="6" t="s">
        <v>120</v>
      </c>
      <c r="J243" s="6" t="s">
        <v>121</v>
      </c>
      <c r="K243" s="6" t="s">
        <v>84</v>
      </c>
      <c r="L243" s="6">
        <v>7</v>
      </c>
      <c r="M243" s="6">
        <v>1396.71</v>
      </c>
      <c r="N243" s="13">
        <f t="shared" si="15"/>
        <v>9776.9700000000012</v>
      </c>
      <c r="O243" s="6">
        <v>20</v>
      </c>
      <c r="P243" s="6">
        <f t="shared" si="16"/>
        <v>1955.3940000000002</v>
      </c>
      <c r="Q243" s="6">
        <f t="shared" si="17"/>
        <v>7821.5760000000009</v>
      </c>
      <c r="R243" s="6" t="str">
        <f t="shared" si="18"/>
        <v>High Sale</v>
      </c>
      <c r="S243" s="6" t="str" cm="1">
        <f t="array" ref="S243">_xlfn.IFS(L243&gt;5,"High",L243=5,"Medium",L243&lt;5,"Low")</f>
        <v>High</v>
      </c>
      <c r="T243" s="6" t="str">
        <f t="shared" si="19"/>
        <v>High</v>
      </c>
    </row>
    <row r="244" spans="1:20" x14ac:dyDescent="0.25">
      <c r="A244" s="6">
        <v>10290</v>
      </c>
      <c r="B244" s="6">
        <v>1996</v>
      </c>
      <c r="C244" s="11">
        <v>45215</v>
      </c>
      <c r="D244" s="11">
        <v>45218</v>
      </c>
      <c r="E244" s="6" t="s">
        <v>100</v>
      </c>
      <c r="F244" s="6" t="s">
        <v>104</v>
      </c>
      <c r="G244" s="6" t="s">
        <v>93</v>
      </c>
      <c r="H244" s="6" t="s">
        <v>81</v>
      </c>
      <c r="I244" s="6" t="s">
        <v>82</v>
      </c>
      <c r="J244" s="6" t="s">
        <v>83</v>
      </c>
      <c r="K244" s="6" t="s">
        <v>91</v>
      </c>
      <c r="L244" s="6">
        <v>8</v>
      </c>
      <c r="M244" s="6">
        <v>2695.39</v>
      </c>
      <c r="N244" s="13">
        <f t="shared" si="15"/>
        <v>21563.119999999999</v>
      </c>
      <c r="O244" s="6">
        <v>10</v>
      </c>
      <c r="P244" s="6">
        <f t="shared" si="16"/>
        <v>2156.3119999999999</v>
      </c>
      <c r="Q244" s="6">
        <f t="shared" si="17"/>
        <v>19406.807999999997</v>
      </c>
      <c r="R244" s="6" t="str">
        <f t="shared" si="18"/>
        <v>High Sale</v>
      </c>
      <c r="S244" s="6" t="str" cm="1">
        <f t="array" ref="S244">_xlfn.IFS(L244&gt;5,"High",L244=5,"Medium",L244&lt;5,"Low")</f>
        <v>High</v>
      </c>
      <c r="T244" s="6" t="str">
        <f t="shared" si="19"/>
        <v>High</v>
      </c>
    </row>
    <row r="245" spans="1:20" x14ac:dyDescent="0.25">
      <c r="A245" s="6">
        <v>10291</v>
      </c>
      <c r="B245" s="6">
        <v>1735</v>
      </c>
      <c r="C245" s="11">
        <v>45007</v>
      </c>
      <c r="D245" s="11">
        <v>45008</v>
      </c>
      <c r="E245" s="6" t="s">
        <v>78</v>
      </c>
      <c r="F245" s="6" t="s">
        <v>117</v>
      </c>
      <c r="G245" s="6" t="s">
        <v>87</v>
      </c>
      <c r="H245" s="6" t="s">
        <v>88</v>
      </c>
      <c r="I245" s="6" t="s">
        <v>115</v>
      </c>
      <c r="J245" s="6" t="s">
        <v>116</v>
      </c>
      <c r="K245" s="6" t="s">
        <v>96</v>
      </c>
      <c r="L245" s="6">
        <v>9</v>
      </c>
      <c r="M245" s="6">
        <v>2661.11</v>
      </c>
      <c r="N245" s="13">
        <f t="shared" si="15"/>
        <v>23949.99</v>
      </c>
      <c r="O245" s="6">
        <v>10</v>
      </c>
      <c r="P245" s="6">
        <f t="shared" si="16"/>
        <v>2394.9990000000003</v>
      </c>
      <c r="Q245" s="6">
        <f t="shared" si="17"/>
        <v>21554.991000000002</v>
      </c>
      <c r="R245" s="6" t="str">
        <f t="shared" si="18"/>
        <v>High Sale</v>
      </c>
      <c r="S245" s="6" t="str" cm="1">
        <f t="array" ref="S245">_xlfn.IFS(L245&gt;5,"High",L245=5,"Medium",L245&lt;5,"Low")</f>
        <v>High</v>
      </c>
      <c r="T245" s="6" t="str">
        <f t="shared" si="19"/>
        <v>High</v>
      </c>
    </row>
    <row r="246" spans="1:20" x14ac:dyDescent="0.25">
      <c r="A246" s="6">
        <v>10294</v>
      </c>
      <c r="B246" s="6">
        <v>1402</v>
      </c>
      <c r="C246" s="11">
        <v>44987</v>
      </c>
      <c r="D246" s="11">
        <v>44994</v>
      </c>
      <c r="E246" s="6" t="s">
        <v>85</v>
      </c>
      <c r="F246" s="6" t="s">
        <v>79</v>
      </c>
      <c r="G246" s="6" t="s">
        <v>87</v>
      </c>
      <c r="H246" s="6" t="s">
        <v>98</v>
      </c>
      <c r="I246" s="6" t="s">
        <v>82</v>
      </c>
      <c r="J246" s="6" t="s">
        <v>106</v>
      </c>
      <c r="K246" s="6" t="s">
        <v>108</v>
      </c>
      <c r="L246" s="6">
        <v>3</v>
      </c>
      <c r="M246" s="6">
        <v>967.49</v>
      </c>
      <c r="N246" s="13">
        <f t="shared" si="15"/>
        <v>2902.4700000000003</v>
      </c>
      <c r="O246" s="6">
        <v>0</v>
      </c>
      <c r="P246" s="6">
        <f t="shared" si="16"/>
        <v>0</v>
      </c>
      <c r="Q246" s="6">
        <f t="shared" si="17"/>
        <v>2902.4700000000003</v>
      </c>
      <c r="R246" s="6" t="str">
        <f t="shared" si="18"/>
        <v>Low Sale</v>
      </c>
      <c r="S246" s="6" t="str" cm="1">
        <f t="array" ref="S246">_xlfn.IFS(L246&gt;5,"High",L246=5,"Medium",L246&lt;5,"Low")</f>
        <v>Low</v>
      </c>
      <c r="T246" s="6" t="str">
        <f t="shared" si="19"/>
        <v>Low</v>
      </c>
    </row>
    <row r="247" spans="1:20" x14ac:dyDescent="0.25">
      <c r="A247" s="6">
        <v>10295</v>
      </c>
      <c r="B247" s="6">
        <v>1637</v>
      </c>
      <c r="C247" s="11">
        <v>45280</v>
      </c>
      <c r="D247" s="11">
        <v>45284</v>
      </c>
      <c r="E247" s="6" t="s">
        <v>97</v>
      </c>
      <c r="F247" s="6" t="s">
        <v>86</v>
      </c>
      <c r="G247" s="6" t="s">
        <v>87</v>
      </c>
      <c r="H247" s="6" t="s">
        <v>105</v>
      </c>
      <c r="I247" s="6" t="s">
        <v>94</v>
      </c>
      <c r="J247" s="6" t="s">
        <v>111</v>
      </c>
      <c r="K247" s="6" t="s">
        <v>96</v>
      </c>
      <c r="L247" s="6">
        <v>1</v>
      </c>
      <c r="M247" s="6">
        <v>619.73</v>
      </c>
      <c r="N247" s="13">
        <f t="shared" si="15"/>
        <v>619.73</v>
      </c>
      <c r="O247" s="6">
        <v>0</v>
      </c>
      <c r="P247" s="6">
        <f t="shared" si="16"/>
        <v>0</v>
      </c>
      <c r="Q247" s="6">
        <f t="shared" si="17"/>
        <v>619.73</v>
      </c>
      <c r="R247" s="6" t="str">
        <f t="shared" si="18"/>
        <v>Low Sale</v>
      </c>
      <c r="S247" s="6" t="str" cm="1">
        <f t="array" ref="S247">_xlfn.IFS(L247&gt;5,"High",L247=5,"Medium",L247&lt;5,"Low")</f>
        <v>Low</v>
      </c>
      <c r="T247" s="6" t="str">
        <f t="shared" si="19"/>
        <v>Low</v>
      </c>
    </row>
    <row r="248" spans="1:20" x14ac:dyDescent="0.25">
      <c r="A248" s="6">
        <v>10296</v>
      </c>
      <c r="B248" s="6">
        <v>1129</v>
      </c>
      <c r="C248" s="11">
        <v>44954</v>
      </c>
      <c r="D248" s="11">
        <v>44957</v>
      </c>
      <c r="E248" s="6" t="s">
        <v>79</v>
      </c>
      <c r="F248" s="6" t="s">
        <v>79</v>
      </c>
      <c r="G248" s="6" t="s">
        <v>80</v>
      </c>
      <c r="H248" s="6" t="s">
        <v>98</v>
      </c>
      <c r="I248" s="6" t="s">
        <v>94</v>
      </c>
      <c r="J248" s="6" t="s">
        <v>111</v>
      </c>
      <c r="K248" s="6" t="s">
        <v>110</v>
      </c>
      <c r="L248" s="6">
        <v>5</v>
      </c>
      <c r="M248" s="6">
        <v>2850.33</v>
      </c>
      <c r="N248" s="13">
        <f t="shared" si="15"/>
        <v>14251.65</v>
      </c>
      <c r="O248" s="6">
        <v>5</v>
      </c>
      <c r="P248" s="6">
        <f t="shared" si="16"/>
        <v>712.58249999999998</v>
      </c>
      <c r="Q248" s="6">
        <f t="shared" si="17"/>
        <v>13539.067499999999</v>
      </c>
      <c r="R248" s="6" t="str">
        <f t="shared" si="18"/>
        <v>High Sale</v>
      </c>
      <c r="S248" s="6" t="str" cm="1">
        <f t="array" ref="S248">_xlfn.IFS(L248&gt;5,"High",L248=5,"Medium",L248&lt;5,"Low")</f>
        <v>Medium</v>
      </c>
      <c r="T248" s="6" t="str">
        <f t="shared" si="19"/>
        <v>Medium</v>
      </c>
    </row>
    <row r="249" spans="1:20" x14ac:dyDescent="0.25">
      <c r="A249" s="6">
        <v>10302</v>
      </c>
      <c r="B249" s="6">
        <v>1415</v>
      </c>
      <c r="C249" s="11">
        <v>45024</v>
      </c>
      <c r="D249" s="11">
        <v>45027</v>
      </c>
      <c r="E249" s="6" t="s">
        <v>79</v>
      </c>
      <c r="F249" s="6" t="s">
        <v>92</v>
      </c>
      <c r="G249" s="6" t="s">
        <v>87</v>
      </c>
      <c r="H249" s="6" t="s">
        <v>81</v>
      </c>
      <c r="I249" s="6" t="s">
        <v>94</v>
      </c>
      <c r="J249" s="6" t="s">
        <v>128</v>
      </c>
      <c r="K249" s="6" t="s">
        <v>96</v>
      </c>
      <c r="L249" s="6">
        <v>7</v>
      </c>
      <c r="M249" s="6">
        <v>636.59</v>
      </c>
      <c r="N249" s="13">
        <f t="shared" si="15"/>
        <v>4456.13</v>
      </c>
      <c r="O249" s="6">
        <v>5</v>
      </c>
      <c r="P249" s="6">
        <f t="shared" si="16"/>
        <v>222.80650000000003</v>
      </c>
      <c r="Q249" s="6">
        <f t="shared" si="17"/>
        <v>4233.3235000000004</v>
      </c>
      <c r="R249" s="6" t="str">
        <f t="shared" si="18"/>
        <v>High Sale</v>
      </c>
      <c r="S249" s="6" t="str" cm="1">
        <f t="array" ref="S249">_xlfn.IFS(L249&gt;5,"High",L249=5,"Medium",L249&lt;5,"Low")</f>
        <v>High</v>
      </c>
      <c r="T249" s="6" t="str">
        <f t="shared" si="19"/>
        <v>High</v>
      </c>
    </row>
    <row r="250" spans="1:20" x14ac:dyDescent="0.25">
      <c r="A250" s="6">
        <v>10303</v>
      </c>
      <c r="B250" s="6">
        <v>1246</v>
      </c>
      <c r="C250" s="11">
        <v>45124</v>
      </c>
      <c r="D250" s="11">
        <v>45125</v>
      </c>
      <c r="E250" s="6" t="s">
        <v>100</v>
      </c>
      <c r="F250" s="6" t="s">
        <v>92</v>
      </c>
      <c r="G250" s="6" t="s">
        <v>80</v>
      </c>
      <c r="H250" s="6" t="s">
        <v>88</v>
      </c>
      <c r="I250" s="6" t="s">
        <v>120</v>
      </c>
      <c r="J250" s="6" t="s">
        <v>129</v>
      </c>
      <c r="K250" s="6" t="s">
        <v>84</v>
      </c>
      <c r="L250" s="6">
        <v>6</v>
      </c>
      <c r="M250" s="6">
        <v>257.2</v>
      </c>
      <c r="N250" s="13">
        <f t="shared" si="15"/>
        <v>1543.1999999999998</v>
      </c>
      <c r="O250" s="6">
        <v>0</v>
      </c>
      <c r="P250" s="6">
        <f t="shared" si="16"/>
        <v>0</v>
      </c>
      <c r="Q250" s="6">
        <f t="shared" si="17"/>
        <v>1543.1999999999998</v>
      </c>
      <c r="R250" s="6" t="str">
        <f t="shared" si="18"/>
        <v>High Sale</v>
      </c>
      <c r="S250" s="6" t="str" cm="1">
        <f t="array" ref="S250">_xlfn.IFS(L250&gt;5,"High",L250=5,"Medium",L250&lt;5,"Low")</f>
        <v>High</v>
      </c>
      <c r="T250" s="6" t="str">
        <f t="shared" si="19"/>
        <v>High</v>
      </c>
    </row>
    <row r="251" spans="1:20" x14ac:dyDescent="0.25">
      <c r="A251" s="6">
        <v>10304</v>
      </c>
      <c r="B251" s="6">
        <v>1835</v>
      </c>
      <c r="C251" s="11">
        <v>45024</v>
      </c>
      <c r="D251" s="11">
        <v>45027</v>
      </c>
      <c r="E251" s="6" t="s">
        <v>103</v>
      </c>
      <c r="F251" s="6" t="s">
        <v>86</v>
      </c>
      <c r="G251" s="6" t="s">
        <v>87</v>
      </c>
      <c r="H251" s="6" t="s">
        <v>88</v>
      </c>
      <c r="I251" s="6" t="s">
        <v>89</v>
      </c>
      <c r="J251" s="6" t="s">
        <v>124</v>
      </c>
      <c r="K251" s="6" t="s">
        <v>84</v>
      </c>
      <c r="L251" s="6">
        <v>4</v>
      </c>
      <c r="M251" s="6">
        <v>2547.52</v>
      </c>
      <c r="N251" s="13">
        <f t="shared" si="15"/>
        <v>10190.08</v>
      </c>
      <c r="O251" s="6">
        <v>20</v>
      </c>
      <c r="P251" s="6">
        <f t="shared" si="16"/>
        <v>2038.0160000000001</v>
      </c>
      <c r="Q251" s="6">
        <f t="shared" si="17"/>
        <v>8152.0640000000003</v>
      </c>
      <c r="R251" s="6" t="str">
        <f t="shared" si="18"/>
        <v>Low Sale</v>
      </c>
      <c r="S251" s="6" t="str" cm="1">
        <f t="array" ref="S251">_xlfn.IFS(L251&gt;5,"High",L251=5,"Medium",L251&lt;5,"Low")</f>
        <v>Low</v>
      </c>
      <c r="T251" s="6" t="str">
        <f t="shared" si="19"/>
        <v>Low</v>
      </c>
    </row>
    <row r="252" spans="1:20" x14ac:dyDescent="0.25">
      <c r="A252" s="6">
        <v>10305</v>
      </c>
      <c r="B252" s="6">
        <v>1438</v>
      </c>
      <c r="C252" s="11">
        <v>44991</v>
      </c>
      <c r="D252" s="11">
        <v>44993</v>
      </c>
      <c r="E252" s="6" t="s">
        <v>109</v>
      </c>
      <c r="F252" s="6" t="s">
        <v>104</v>
      </c>
      <c r="G252" s="6" t="s">
        <v>80</v>
      </c>
      <c r="H252" s="6" t="s">
        <v>98</v>
      </c>
      <c r="I252" s="6" t="s">
        <v>94</v>
      </c>
      <c r="J252" s="6" t="s">
        <v>111</v>
      </c>
      <c r="K252" s="6" t="s">
        <v>84</v>
      </c>
      <c r="L252" s="6">
        <v>2</v>
      </c>
      <c r="M252" s="6">
        <v>3256.02</v>
      </c>
      <c r="N252" s="13">
        <f t="shared" si="15"/>
        <v>6512.04</v>
      </c>
      <c r="O252" s="6">
        <v>20</v>
      </c>
      <c r="P252" s="6">
        <f t="shared" si="16"/>
        <v>1302.4080000000001</v>
      </c>
      <c r="Q252" s="6">
        <f t="shared" si="17"/>
        <v>5209.6319999999996</v>
      </c>
      <c r="R252" s="6" t="str">
        <f t="shared" si="18"/>
        <v>Low Sale</v>
      </c>
      <c r="S252" s="6" t="str" cm="1">
        <f t="array" ref="S252">_xlfn.IFS(L252&gt;5,"High",L252=5,"Medium",L252&lt;5,"Low")</f>
        <v>Low</v>
      </c>
      <c r="T252" s="6" t="str">
        <f t="shared" si="19"/>
        <v>Low</v>
      </c>
    </row>
    <row r="253" spans="1:20" x14ac:dyDescent="0.25">
      <c r="A253" s="6">
        <v>10306</v>
      </c>
      <c r="B253" s="6">
        <v>1202</v>
      </c>
      <c r="C253" s="11">
        <v>45256</v>
      </c>
      <c r="D253" s="11">
        <v>45264</v>
      </c>
      <c r="E253" s="6" t="s">
        <v>109</v>
      </c>
      <c r="F253" s="6" t="s">
        <v>92</v>
      </c>
      <c r="G253" s="6" t="s">
        <v>93</v>
      </c>
      <c r="H253" s="6" t="s">
        <v>105</v>
      </c>
      <c r="I253" s="6" t="s">
        <v>120</v>
      </c>
      <c r="J253" s="6" t="s">
        <v>125</v>
      </c>
      <c r="K253" s="6" t="s">
        <v>91</v>
      </c>
      <c r="L253" s="6">
        <v>1</v>
      </c>
      <c r="M253" s="6">
        <v>3391.76</v>
      </c>
      <c r="N253" s="13">
        <f t="shared" si="15"/>
        <v>3391.76</v>
      </c>
      <c r="O253" s="6">
        <v>20</v>
      </c>
      <c r="P253" s="6">
        <f t="shared" si="16"/>
        <v>678.35200000000009</v>
      </c>
      <c r="Q253" s="6">
        <f t="shared" si="17"/>
        <v>2713.4080000000004</v>
      </c>
      <c r="R253" s="6" t="str">
        <f t="shared" si="18"/>
        <v>Low Sale</v>
      </c>
      <c r="S253" s="6" t="str" cm="1">
        <f t="array" ref="S253">_xlfn.IFS(L253&gt;5,"High",L253=5,"Medium",L253&lt;5,"Low")</f>
        <v>Low</v>
      </c>
      <c r="T253" s="6" t="str">
        <f t="shared" si="19"/>
        <v>Low</v>
      </c>
    </row>
    <row r="254" spans="1:20" x14ac:dyDescent="0.25">
      <c r="A254" s="6">
        <v>10307</v>
      </c>
      <c r="B254" s="6">
        <v>1183</v>
      </c>
      <c r="C254" s="11">
        <v>45267</v>
      </c>
      <c r="D254" s="11">
        <v>45273</v>
      </c>
      <c r="E254" s="6" t="s">
        <v>78</v>
      </c>
      <c r="F254" s="6" t="s">
        <v>79</v>
      </c>
      <c r="G254" s="6" t="s">
        <v>87</v>
      </c>
      <c r="H254" s="6" t="s">
        <v>105</v>
      </c>
      <c r="I254" s="6" t="s">
        <v>120</v>
      </c>
      <c r="J254" s="6" t="s">
        <v>121</v>
      </c>
      <c r="K254" s="6" t="s">
        <v>91</v>
      </c>
      <c r="L254" s="6">
        <v>4</v>
      </c>
      <c r="M254" s="6">
        <v>2008.45</v>
      </c>
      <c r="N254" s="13">
        <f t="shared" si="15"/>
        <v>8033.8</v>
      </c>
      <c r="O254" s="6">
        <v>5</v>
      </c>
      <c r="P254" s="6">
        <f t="shared" si="16"/>
        <v>401.69000000000005</v>
      </c>
      <c r="Q254" s="6">
        <f t="shared" si="17"/>
        <v>7632.1100000000006</v>
      </c>
      <c r="R254" s="6" t="str">
        <f t="shared" si="18"/>
        <v>Low Sale</v>
      </c>
      <c r="S254" s="6" t="str" cm="1">
        <f t="array" ref="S254">_xlfn.IFS(L254&gt;5,"High",L254=5,"Medium",L254&lt;5,"Low")</f>
        <v>Low</v>
      </c>
      <c r="T254" s="6" t="str">
        <f t="shared" si="19"/>
        <v>Low</v>
      </c>
    </row>
    <row r="255" spans="1:20" x14ac:dyDescent="0.25">
      <c r="A255" s="6">
        <v>10308</v>
      </c>
      <c r="B255" s="6">
        <v>1122</v>
      </c>
      <c r="C255" s="11">
        <v>44931</v>
      </c>
      <c r="D255" s="11">
        <v>44940</v>
      </c>
      <c r="E255" s="6" t="s">
        <v>100</v>
      </c>
      <c r="F255" s="6" t="s">
        <v>86</v>
      </c>
      <c r="G255" s="6" t="s">
        <v>93</v>
      </c>
      <c r="H255" s="6" t="s">
        <v>88</v>
      </c>
      <c r="I255" s="6" t="s">
        <v>115</v>
      </c>
      <c r="J255" s="6" t="s">
        <v>116</v>
      </c>
      <c r="K255" s="6" t="s">
        <v>108</v>
      </c>
      <c r="L255" s="6">
        <v>4</v>
      </c>
      <c r="M255" s="6">
        <v>3143.2</v>
      </c>
      <c r="N255" s="13">
        <f t="shared" si="15"/>
        <v>12572.8</v>
      </c>
      <c r="O255" s="6">
        <v>0</v>
      </c>
      <c r="P255" s="6">
        <f t="shared" si="16"/>
        <v>0</v>
      </c>
      <c r="Q255" s="6">
        <f t="shared" si="17"/>
        <v>12572.8</v>
      </c>
      <c r="R255" s="6" t="str">
        <f t="shared" si="18"/>
        <v>Low Sale</v>
      </c>
      <c r="S255" s="6" t="str" cm="1">
        <f t="array" ref="S255">_xlfn.IFS(L255&gt;5,"High",L255=5,"Medium",L255&lt;5,"Low")</f>
        <v>Low</v>
      </c>
      <c r="T255" s="6" t="str">
        <f t="shared" si="19"/>
        <v>Low</v>
      </c>
    </row>
    <row r="256" spans="1:20" x14ac:dyDescent="0.25">
      <c r="A256" s="6">
        <v>10309</v>
      </c>
      <c r="B256" s="6">
        <v>1400</v>
      </c>
      <c r="C256" s="11">
        <v>44928</v>
      </c>
      <c r="D256" s="11">
        <v>44936</v>
      </c>
      <c r="E256" s="6" t="s">
        <v>97</v>
      </c>
      <c r="F256" s="6" t="s">
        <v>92</v>
      </c>
      <c r="G256" s="6" t="s">
        <v>93</v>
      </c>
      <c r="H256" s="6" t="s">
        <v>107</v>
      </c>
      <c r="I256" s="6" t="s">
        <v>112</v>
      </c>
      <c r="J256" s="6" t="s">
        <v>114</v>
      </c>
      <c r="K256" s="6" t="s">
        <v>110</v>
      </c>
      <c r="L256" s="6">
        <v>1</v>
      </c>
      <c r="M256" s="6">
        <v>2740.46</v>
      </c>
      <c r="N256" s="13">
        <f t="shared" si="15"/>
        <v>2740.46</v>
      </c>
      <c r="O256" s="6">
        <v>10</v>
      </c>
      <c r="P256" s="6">
        <f t="shared" si="16"/>
        <v>274.04599999999999</v>
      </c>
      <c r="Q256" s="6">
        <f t="shared" si="17"/>
        <v>2466.4140000000002</v>
      </c>
      <c r="R256" s="6" t="str">
        <f t="shared" si="18"/>
        <v>Low Sale</v>
      </c>
      <c r="S256" s="6" t="str" cm="1">
        <f t="array" ref="S256">_xlfn.IFS(L256&gt;5,"High",L256=5,"Medium",L256&lt;5,"Low")</f>
        <v>Low</v>
      </c>
      <c r="T256" s="6" t="str">
        <f t="shared" si="19"/>
        <v>Low</v>
      </c>
    </row>
    <row r="257" spans="1:20" x14ac:dyDescent="0.25">
      <c r="A257" s="6">
        <v>10311</v>
      </c>
      <c r="B257" s="6">
        <v>1293</v>
      </c>
      <c r="C257" s="11">
        <v>45038</v>
      </c>
      <c r="D257" s="11">
        <v>45043</v>
      </c>
      <c r="E257" s="6" t="s">
        <v>109</v>
      </c>
      <c r="F257" s="6" t="s">
        <v>86</v>
      </c>
      <c r="G257" s="6" t="s">
        <v>87</v>
      </c>
      <c r="H257" s="6" t="s">
        <v>81</v>
      </c>
      <c r="I257" s="6" t="s">
        <v>82</v>
      </c>
      <c r="J257" s="6" t="s">
        <v>106</v>
      </c>
      <c r="K257" s="6" t="s">
        <v>96</v>
      </c>
      <c r="L257" s="6">
        <v>4</v>
      </c>
      <c r="M257" s="6">
        <v>2046.51</v>
      </c>
      <c r="N257" s="13">
        <f t="shared" si="15"/>
        <v>8186.04</v>
      </c>
      <c r="O257" s="6">
        <v>5</v>
      </c>
      <c r="P257" s="6">
        <f t="shared" si="16"/>
        <v>409.30200000000002</v>
      </c>
      <c r="Q257" s="6">
        <f t="shared" si="17"/>
        <v>7776.7380000000003</v>
      </c>
      <c r="R257" s="6" t="str">
        <f t="shared" si="18"/>
        <v>Low Sale</v>
      </c>
      <c r="S257" s="6" t="str" cm="1">
        <f t="array" ref="S257">_xlfn.IFS(L257&gt;5,"High",L257=5,"Medium",L257&lt;5,"Low")</f>
        <v>Low</v>
      </c>
      <c r="T257" s="6" t="str">
        <f t="shared" si="19"/>
        <v>Low</v>
      </c>
    </row>
    <row r="258" spans="1:20" x14ac:dyDescent="0.25">
      <c r="A258" s="6">
        <v>10312</v>
      </c>
      <c r="B258" s="6">
        <v>1279</v>
      </c>
      <c r="C258" s="11">
        <v>44983</v>
      </c>
      <c r="D258" s="11">
        <v>44990</v>
      </c>
      <c r="E258" s="6" t="s">
        <v>109</v>
      </c>
      <c r="F258" s="6" t="s">
        <v>101</v>
      </c>
      <c r="G258" s="6" t="s">
        <v>93</v>
      </c>
      <c r="H258" s="6" t="s">
        <v>81</v>
      </c>
      <c r="I258" s="6" t="s">
        <v>115</v>
      </c>
      <c r="J258" s="6" t="s">
        <v>119</v>
      </c>
      <c r="K258" s="6" t="s">
        <v>96</v>
      </c>
      <c r="L258" s="6">
        <v>1</v>
      </c>
      <c r="M258" s="6">
        <v>2588.64</v>
      </c>
      <c r="N258" s="13">
        <f t="shared" si="15"/>
        <v>2588.64</v>
      </c>
      <c r="O258" s="6">
        <v>0</v>
      </c>
      <c r="P258" s="6">
        <f t="shared" si="16"/>
        <v>0</v>
      </c>
      <c r="Q258" s="6">
        <f t="shared" si="17"/>
        <v>2588.64</v>
      </c>
      <c r="R258" s="6" t="str">
        <f t="shared" si="18"/>
        <v>Low Sale</v>
      </c>
      <c r="S258" s="6" t="str" cm="1">
        <f t="array" ref="S258">_xlfn.IFS(L258&gt;5,"High",L258=5,"Medium",L258&lt;5,"Low")</f>
        <v>Low</v>
      </c>
      <c r="T258" s="6" t="str">
        <f t="shared" si="19"/>
        <v>Low</v>
      </c>
    </row>
    <row r="259" spans="1:20" x14ac:dyDescent="0.25">
      <c r="A259" s="6">
        <v>10313</v>
      </c>
      <c r="B259" s="6">
        <v>1836</v>
      </c>
      <c r="C259" s="11">
        <v>44992</v>
      </c>
      <c r="D259" s="11">
        <v>44997</v>
      </c>
      <c r="E259" s="6" t="s">
        <v>103</v>
      </c>
      <c r="F259" s="6" t="s">
        <v>104</v>
      </c>
      <c r="G259" s="6" t="s">
        <v>80</v>
      </c>
      <c r="H259" s="6" t="s">
        <v>98</v>
      </c>
      <c r="I259" s="6" t="s">
        <v>120</v>
      </c>
      <c r="J259" s="6" t="s">
        <v>125</v>
      </c>
      <c r="K259" s="6" t="s">
        <v>108</v>
      </c>
      <c r="L259" s="6">
        <v>1</v>
      </c>
      <c r="M259" s="6">
        <v>3251.27</v>
      </c>
      <c r="N259" s="13">
        <f t="shared" ref="N259:N322" si="20">L259*M259</f>
        <v>3251.27</v>
      </c>
      <c r="O259" s="6">
        <v>15</v>
      </c>
      <c r="P259" s="6">
        <f t="shared" ref="P259:P322" si="21">N259*O259%</f>
        <v>487.69049999999999</v>
      </c>
      <c r="Q259" s="6">
        <f t="shared" ref="Q259:Q322" si="22">N259-P259</f>
        <v>2763.5794999999998</v>
      </c>
      <c r="R259" s="6" t="str">
        <f t="shared" ref="R259:R322" si="23">IF(L259&gt;=5,"High Sale", "Low Sale")</f>
        <v>Low Sale</v>
      </c>
      <c r="S259" s="6" t="str" cm="1">
        <f t="array" ref="S259">_xlfn.IFS(L259&gt;5,"High",L259=5,"Medium",L259&lt;5,"Low")</f>
        <v>Low</v>
      </c>
      <c r="T259" s="6" t="str">
        <f t="shared" ref="T259:T322" si="24">IF(L259&gt;5,"High",IF(L259=5,"Medium","Low"))</f>
        <v>Low</v>
      </c>
    </row>
    <row r="260" spans="1:20" x14ac:dyDescent="0.25">
      <c r="A260" s="6">
        <v>10314</v>
      </c>
      <c r="B260" s="6">
        <v>1883</v>
      </c>
      <c r="C260" s="11">
        <v>45256</v>
      </c>
      <c r="D260" s="11">
        <v>45264</v>
      </c>
      <c r="E260" s="6" t="s">
        <v>100</v>
      </c>
      <c r="F260" s="6" t="s">
        <v>79</v>
      </c>
      <c r="G260" s="6" t="s">
        <v>87</v>
      </c>
      <c r="H260" s="6" t="s">
        <v>88</v>
      </c>
      <c r="I260" s="6" t="s">
        <v>89</v>
      </c>
      <c r="J260" s="6" t="s">
        <v>131</v>
      </c>
      <c r="K260" s="6" t="s">
        <v>91</v>
      </c>
      <c r="L260" s="6">
        <v>1</v>
      </c>
      <c r="M260" s="6">
        <v>1681.85</v>
      </c>
      <c r="N260" s="13">
        <f t="shared" si="20"/>
        <v>1681.85</v>
      </c>
      <c r="O260" s="6">
        <v>5</v>
      </c>
      <c r="P260" s="6">
        <f t="shared" si="21"/>
        <v>84.092500000000001</v>
      </c>
      <c r="Q260" s="6">
        <f t="shared" si="22"/>
        <v>1597.7574999999999</v>
      </c>
      <c r="R260" s="6" t="str">
        <f t="shared" si="23"/>
        <v>Low Sale</v>
      </c>
      <c r="S260" s="6" t="str" cm="1">
        <f t="array" ref="S260">_xlfn.IFS(L260&gt;5,"High",L260=5,"Medium",L260&lt;5,"Low")</f>
        <v>Low</v>
      </c>
      <c r="T260" s="6" t="str">
        <f t="shared" si="24"/>
        <v>Low</v>
      </c>
    </row>
    <row r="261" spans="1:20" x14ac:dyDescent="0.25">
      <c r="A261" s="6">
        <v>10315</v>
      </c>
      <c r="B261" s="6">
        <v>1609</v>
      </c>
      <c r="C261" s="11">
        <v>45024</v>
      </c>
      <c r="D261" s="11">
        <v>45029</v>
      </c>
      <c r="E261" s="6" t="s">
        <v>100</v>
      </c>
      <c r="F261" s="6" t="s">
        <v>92</v>
      </c>
      <c r="G261" s="6" t="s">
        <v>87</v>
      </c>
      <c r="H261" s="6" t="s">
        <v>81</v>
      </c>
      <c r="I261" s="6" t="s">
        <v>112</v>
      </c>
      <c r="J261" s="6" t="s">
        <v>113</v>
      </c>
      <c r="K261" s="6" t="s">
        <v>108</v>
      </c>
      <c r="L261" s="6">
        <v>8</v>
      </c>
      <c r="M261" s="6">
        <v>3253.02</v>
      </c>
      <c r="N261" s="13">
        <f t="shared" si="20"/>
        <v>26024.16</v>
      </c>
      <c r="O261" s="6">
        <v>15</v>
      </c>
      <c r="P261" s="6">
        <f t="shared" si="21"/>
        <v>3903.6239999999998</v>
      </c>
      <c r="Q261" s="6">
        <f t="shared" si="22"/>
        <v>22120.536</v>
      </c>
      <c r="R261" s="6" t="str">
        <f t="shared" si="23"/>
        <v>High Sale</v>
      </c>
      <c r="S261" s="6" t="str" cm="1">
        <f t="array" ref="S261">_xlfn.IFS(L261&gt;5,"High",L261=5,"Medium",L261&lt;5,"Low")</f>
        <v>High</v>
      </c>
      <c r="T261" s="6" t="str">
        <f t="shared" si="24"/>
        <v>High</v>
      </c>
    </row>
    <row r="262" spans="1:20" x14ac:dyDescent="0.25">
      <c r="A262" s="6">
        <v>10316</v>
      </c>
      <c r="B262" s="6">
        <v>1197</v>
      </c>
      <c r="C262" s="11">
        <v>45070</v>
      </c>
      <c r="D262" s="11">
        <v>45071</v>
      </c>
      <c r="E262" s="6" t="s">
        <v>109</v>
      </c>
      <c r="F262" s="6" t="s">
        <v>101</v>
      </c>
      <c r="G262" s="6" t="s">
        <v>93</v>
      </c>
      <c r="H262" s="6" t="s">
        <v>81</v>
      </c>
      <c r="I262" s="6" t="s">
        <v>120</v>
      </c>
      <c r="J262" s="6" t="s">
        <v>121</v>
      </c>
      <c r="K262" s="6" t="s">
        <v>96</v>
      </c>
      <c r="L262" s="6">
        <v>8</v>
      </c>
      <c r="M262" s="6">
        <v>2429.2600000000002</v>
      </c>
      <c r="N262" s="13">
        <f t="shared" si="20"/>
        <v>19434.080000000002</v>
      </c>
      <c r="O262" s="6">
        <v>15</v>
      </c>
      <c r="P262" s="6">
        <f t="shared" si="21"/>
        <v>2915.1120000000001</v>
      </c>
      <c r="Q262" s="6">
        <f t="shared" si="22"/>
        <v>16518.968000000001</v>
      </c>
      <c r="R262" s="6" t="str">
        <f t="shared" si="23"/>
        <v>High Sale</v>
      </c>
      <c r="S262" s="6" t="str" cm="1">
        <f t="array" ref="S262">_xlfn.IFS(L262&gt;5,"High",L262=5,"Medium",L262&lt;5,"Low")</f>
        <v>High</v>
      </c>
      <c r="T262" s="6" t="str">
        <f t="shared" si="24"/>
        <v>High</v>
      </c>
    </row>
    <row r="263" spans="1:20" x14ac:dyDescent="0.25">
      <c r="A263" s="6">
        <v>10317</v>
      </c>
      <c r="B263" s="6">
        <v>1981</v>
      </c>
      <c r="C263" s="11">
        <v>45051</v>
      </c>
      <c r="D263" s="11">
        <v>45056</v>
      </c>
      <c r="E263" s="6" t="s">
        <v>97</v>
      </c>
      <c r="F263" s="6" t="s">
        <v>101</v>
      </c>
      <c r="G263" s="6" t="s">
        <v>87</v>
      </c>
      <c r="H263" s="6" t="s">
        <v>88</v>
      </c>
      <c r="I263" s="6" t="s">
        <v>112</v>
      </c>
      <c r="J263" s="6" t="s">
        <v>126</v>
      </c>
      <c r="K263" s="6" t="s">
        <v>110</v>
      </c>
      <c r="L263" s="6">
        <v>2</v>
      </c>
      <c r="M263" s="6">
        <v>788.72</v>
      </c>
      <c r="N263" s="13">
        <f t="shared" si="20"/>
        <v>1577.44</v>
      </c>
      <c r="O263" s="6">
        <v>20</v>
      </c>
      <c r="P263" s="6">
        <f t="shared" si="21"/>
        <v>315.48800000000006</v>
      </c>
      <c r="Q263" s="6">
        <f t="shared" si="22"/>
        <v>1261.952</v>
      </c>
      <c r="R263" s="6" t="str">
        <f t="shared" si="23"/>
        <v>Low Sale</v>
      </c>
      <c r="S263" s="6" t="str" cm="1">
        <f t="array" ref="S263">_xlfn.IFS(L263&gt;5,"High",L263=5,"Medium",L263&lt;5,"Low")</f>
        <v>Low</v>
      </c>
      <c r="T263" s="6" t="str">
        <f t="shared" si="24"/>
        <v>Low</v>
      </c>
    </row>
    <row r="264" spans="1:20" x14ac:dyDescent="0.25">
      <c r="A264" s="6">
        <v>10318</v>
      </c>
      <c r="B264" s="6">
        <v>1906</v>
      </c>
      <c r="C264" s="11">
        <v>45093</v>
      </c>
      <c r="D264" s="11">
        <v>45097</v>
      </c>
      <c r="E264" s="6" t="s">
        <v>78</v>
      </c>
      <c r="F264" s="6" t="s">
        <v>86</v>
      </c>
      <c r="G264" s="6" t="s">
        <v>93</v>
      </c>
      <c r="H264" s="6" t="s">
        <v>98</v>
      </c>
      <c r="I264" s="6" t="s">
        <v>112</v>
      </c>
      <c r="J264" s="6" t="s">
        <v>130</v>
      </c>
      <c r="K264" s="6" t="s">
        <v>84</v>
      </c>
      <c r="L264" s="6">
        <v>7</v>
      </c>
      <c r="M264" s="6">
        <v>245.03</v>
      </c>
      <c r="N264" s="13">
        <f t="shared" si="20"/>
        <v>1715.21</v>
      </c>
      <c r="O264" s="6">
        <v>0</v>
      </c>
      <c r="P264" s="6">
        <f t="shared" si="21"/>
        <v>0</v>
      </c>
      <c r="Q264" s="6">
        <f t="shared" si="22"/>
        <v>1715.21</v>
      </c>
      <c r="R264" s="6" t="str">
        <f t="shared" si="23"/>
        <v>High Sale</v>
      </c>
      <c r="S264" s="6" t="str" cm="1">
        <f t="array" ref="S264">_xlfn.IFS(L264&gt;5,"High",L264=5,"Medium",L264&lt;5,"Low")</f>
        <v>High</v>
      </c>
      <c r="T264" s="6" t="str">
        <f t="shared" si="24"/>
        <v>High</v>
      </c>
    </row>
    <row r="265" spans="1:20" x14ac:dyDescent="0.25">
      <c r="A265" s="6">
        <v>10320</v>
      </c>
      <c r="B265" s="6">
        <v>1751</v>
      </c>
      <c r="C265" s="11">
        <v>45002</v>
      </c>
      <c r="D265" s="11">
        <v>45005</v>
      </c>
      <c r="E265" s="6" t="s">
        <v>78</v>
      </c>
      <c r="F265" s="6" t="s">
        <v>79</v>
      </c>
      <c r="G265" s="6" t="s">
        <v>80</v>
      </c>
      <c r="H265" s="6" t="s">
        <v>98</v>
      </c>
      <c r="I265" s="6" t="s">
        <v>89</v>
      </c>
      <c r="J265" s="6" t="s">
        <v>99</v>
      </c>
      <c r="K265" s="6" t="s">
        <v>91</v>
      </c>
      <c r="L265" s="6">
        <v>8</v>
      </c>
      <c r="M265" s="6">
        <v>2254.7800000000002</v>
      </c>
      <c r="N265" s="13">
        <f t="shared" si="20"/>
        <v>18038.240000000002</v>
      </c>
      <c r="O265" s="6">
        <v>0</v>
      </c>
      <c r="P265" s="6">
        <f t="shared" si="21"/>
        <v>0</v>
      </c>
      <c r="Q265" s="6">
        <f t="shared" si="22"/>
        <v>18038.240000000002</v>
      </c>
      <c r="R265" s="6" t="str">
        <f t="shared" si="23"/>
        <v>High Sale</v>
      </c>
      <c r="S265" s="6" t="str" cm="1">
        <f t="array" ref="S265">_xlfn.IFS(L265&gt;5,"High",L265=5,"Medium",L265&lt;5,"Low")</f>
        <v>High</v>
      </c>
      <c r="T265" s="6" t="str">
        <f t="shared" si="24"/>
        <v>High</v>
      </c>
    </row>
    <row r="266" spans="1:20" x14ac:dyDescent="0.25">
      <c r="A266" s="6">
        <v>10321</v>
      </c>
      <c r="B266" s="6">
        <v>1143</v>
      </c>
      <c r="C266" s="11">
        <v>45270</v>
      </c>
      <c r="D266" s="11">
        <v>45275</v>
      </c>
      <c r="E266" s="6" t="s">
        <v>100</v>
      </c>
      <c r="F266" s="6" t="s">
        <v>79</v>
      </c>
      <c r="G266" s="6" t="s">
        <v>93</v>
      </c>
      <c r="H266" s="6" t="s">
        <v>105</v>
      </c>
      <c r="I266" s="6" t="s">
        <v>115</v>
      </c>
      <c r="J266" s="6" t="s">
        <v>123</v>
      </c>
      <c r="K266" s="6" t="s">
        <v>108</v>
      </c>
      <c r="L266" s="6">
        <v>7</v>
      </c>
      <c r="M266" s="6">
        <v>3383.31</v>
      </c>
      <c r="N266" s="13">
        <f t="shared" si="20"/>
        <v>23683.17</v>
      </c>
      <c r="O266" s="6">
        <v>20</v>
      </c>
      <c r="P266" s="6">
        <f t="shared" si="21"/>
        <v>4736.634</v>
      </c>
      <c r="Q266" s="6">
        <f t="shared" si="22"/>
        <v>18946.536</v>
      </c>
      <c r="R266" s="6" t="str">
        <f t="shared" si="23"/>
        <v>High Sale</v>
      </c>
      <c r="S266" s="6" t="str" cm="1">
        <f t="array" ref="S266">_xlfn.IFS(L266&gt;5,"High",L266=5,"Medium",L266&lt;5,"Low")</f>
        <v>High</v>
      </c>
      <c r="T266" s="6" t="str">
        <f t="shared" si="24"/>
        <v>High</v>
      </c>
    </row>
    <row r="267" spans="1:20" x14ac:dyDescent="0.25">
      <c r="A267" s="6">
        <v>10322</v>
      </c>
      <c r="B267" s="6">
        <v>1608</v>
      </c>
      <c r="C267" s="11">
        <v>45220</v>
      </c>
      <c r="D267" s="11">
        <v>45222</v>
      </c>
      <c r="E267" s="6" t="s">
        <v>78</v>
      </c>
      <c r="F267" s="6" t="s">
        <v>117</v>
      </c>
      <c r="G267" s="6" t="s">
        <v>93</v>
      </c>
      <c r="H267" s="6" t="s">
        <v>98</v>
      </c>
      <c r="I267" s="6" t="s">
        <v>89</v>
      </c>
      <c r="J267" s="6" t="s">
        <v>124</v>
      </c>
      <c r="K267" s="6" t="s">
        <v>91</v>
      </c>
      <c r="L267" s="6">
        <v>5</v>
      </c>
      <c r="M267" s="6">
        <v>640.82000000000005</v>
      </c>
      <c r="N267" s="13">
        <f t="shared" si="20"/>
        <v>3204.1000000000004</v>
      </c>
      <c r="O267" s="6">
        <v>0</v>
      </c>
      <c r="P267" s="6">
        <f t="shared" si="21"/>
        <v>0</v>
      </c>
      <c r="Q267" s="6">
        <f t="shared" si="22"/>
        <v>3204.1000000000004</v>
      </c>
      <c r="R267" s="6" t="str">
        <f t="shared" si="23"/>
        <v>High Sale</v>
      </c>
      <c r="S267" s="6" t="str" cm="1">
        <f t="array" ref="S267">_xlfn.IFS(L267&gt;5,"High",L267=5,"Medium",L267&lt;5,"Low")</f>
        <v>Medium</v>
      </c>
      <c r="T267" s="6" t="str">
        <f t="shared" si="24"/>
        <v>Medium</v>
      </c>
    </row>
    <row r="268" spans="1:20" x14ac:dyDescent="0.25">
      <c r="A268" s="6">
        <v>10324</v>
      </c>
      <c r="B268" s="6">
        <v>1123</v>
      </c>
      <c r="C268" s="11">
        <v>45064</v>
      </c>
      <c r="D268" s="11">
        <v>45070</v>
      </c>
      <c r="E268" s="6" t="s">
        <v>109</v>
      </c>
      <c r="F268" s="6" t="s">
        <v>104</v>
      </c>
      <c r="G268" s="6" t="s">
        <v>87</v>
      </c>
      <c r="H268" s="6" t="s">
        <v>107</v>
      </c>
      <c r="I268" s="6" t="s">
        <v>120</v>
      </c>
      <c r="J268" s="6" t="s">
        <v>121</v>
      </c>
      <c r="K268" s="6" t="s">
        <v>96</v>
      </c>
      <c r="L268" s="6">
        <v>9</v>
      </c>
      <c r="M268" s="6">
        <v>3472.58</v>
      </c>
      <c r="N268" s="13">
        <f t="shared" si="20"/>
        <v>31253.22</v>
      </c>
      <c r="O268" s="6">
        <v>15</v>
      </c>
      <c r="P268" s="6">
        <f t="shared" si="21"/>
        <v>4687.9830000000002</v>
      </c>
      <c r="Q268" s="6">
        <f t="shared" si="22"/>
        <v>26565.237000000001</v>
      </c>
      <c r="R268" s="6" t="str">
        <f t="shared" si="23"/>
        <v>High Sale</v>
      </c>
      <c r="S268" s="6" t="str" cm="1">
        <f t="array" ref="S268">_xlfn.IFS(L268&gt;5,"High",L268=5,"Medium",L268&lt;5,"Low")</f>
        <v>High</v>
      </c>
      <c r="T268" s="6" t="str">
        <f t="shared" si="24"/>
        <v>High</v>
      </c>
    </row>
    <row r="269" spans="1:20" x14ac:dyDescent="0.25">
      <c r="A269" s="6">
        <v>10325</v>
      </c>
      <c r="B269" s="6">
        <v>1186</v>
      </c>
      <c r="C269" s="11">
        <v>45025</v>
      </c>
      <c r="D269" s="11">
        <v>45030</v>
      </c>
      <c r="E269" s="6" t="s">
        <v>100</v>
      </c>
      <c r="F269" s="6" t="s">
        <v>101</v>
      </c>
      <c r="G269" s="6" t="s">
        <v>93</v>
      </c>
      <c r="H269" s="6" t="s">
        <v>98</v>
      </c>
      <c r="I269" s="6" t="s">
        <v>115</v>
      </c>
      <c r="J269" s="6" t="s">
        <v>127</v>
      </c>
      <c r="K269" s="6" t="s">
        <v>108</v>
      </c>
      <c r="L269" s="6">
        <v>7</v>
      </c>
      <c r="M269" s="6">
        <v>730.15</v>
      </c>
      <c r="N269" s="13">
        <f t="shared" si="20"/>
        <v>5111.05</v>
      </c>
      <c r="O269" s="6">
        <v>0</v>
      </c>
      <c r="P269" s="6">
        <f t="shared" si="21"/>
        <v>0</v>
      </c>
      <c r="Q269" s="6">
        <f t="shared" si="22"/>
        <v>5111.05</v>
      </c>
      <c r="R269" s="6" t="str">
        <f t="shared" si="23"/>
        <v>High Sale</v>
      </c>
      <c r="S269" s="6" t="str" cm="1">
        <f t="array" ref="S269">_xlfn.IFS(L269&gt;5,"High",L269=5,"Medium",L269&lt;5,"Low")</f>
        <v>High</v>
      </c>
      <c r="T269" s="6" t="str">
        <f t="shared" si="24"/>
        <v>High</v>
      </c>
    </row>
    <row r="270" spans="1:20" x14ac:dyDescent="0.25">
      <c r="A270" s="6">
        <v>10326</v>
      </c>
      <c r="B270" s="6">
        <v>1325</v>
      </c>
      <c r="C270" s="11">
        <v>45118</v>
      </c>
      <c r="D270" s="11">
        <v>45124</v>
      </c>
      <c r="E270" s="6" t="s">
        <v>100</v>
      </c>
      <c r="F270" s="6" t="s">
        <v>79</v>
      </c>
      <c r="G270" s="6" t="s">
        <v>87</v>
      </c>
      <c r="H270" s="6" t="s">
        <v>107</v>
      </c>
      <c r="I270" s="6" t="s">
        <v>115</v>
      </c>
      <c r="J270" s="6" t="s">
        <v>123</v>
      </c>
      <c r="K270" s="6" t="s">
        <v>96</v>
      </c>
      <c r="L270" s="6">
        <v>2</v>
      </c>
      <c r="M270" s="6">
        <v>3428.64</v>
      </c>
      <c r="N270" s="13">
        <f t="shared" si="20"/>
        <v>6857.28</v>
      </c>
      <c r="O270" s="6">
        <v>10</v>
      </c>
      <c r="P270" s="6">
        <f t="shared" si="21"/>
        <v>685.72800000000007</v>
      </c>
      <c r="Q270" s="6">
        <f t="shared" si="22"/>
        <v>6171.5519999999997</v>
      </c>
      <c r="R270" s="6" t="str">
        <f t="shared" si="23"/>
        <v>Low Sale</v>
      </c>
      <c r="S270" s="6" t="str" cm="1">
        <f t="array" ref="S270">_xlfn.IFS(L270&gt;5,"High",L270=5,"Medium",L270&lt;5,"Low")</f>
        <v>Low</v>
      </c>
      <c r="T270" s="6" t="str">
        <f t="shared" si="24"/>
        <v>Low</v>
      </c>
    </row>
    <row r="271" spans="1:20" x14ac:dyDescent="0.25">
      <c r="A271" s="6">
        <v>10327</v>
      </c>
      <c r="B271" s="6">
        <v>1463</v>
      </c>
      <c r="C271" s="11">
        <v>45169</v>
      </c>
      <c r="D271" s="11">
        <v>45176</v>
      </c>
      <c r="E271" s="6" t="s">
        <v>85</v>
      </c>
      <c r="F271" s="6" t="s">
        <v>86</v>
      </c>
      <c r="G271" s="6" t="s">
        <v>80</v>
      </c>
      <c r="H271" s="6" t="s">
        <v>105</v>
      </c>
      <c r="I271" s="6" t="s">
        <v>115</v>
      </c>
      <c r="J271" s="6" t="s">
        <v>123</v>
      </c>
      <c r="K271" s="6" t="s">
        <v>110</v>
      </c>
      <c r="L271" s="6">
        <v>6</v>
      </c>
      <c r="M271" s="6">
        <v>3967.1</v>
      </c>
      <c r="N271" s="13">
        <f t="shared" si="20"/>
        <v>23802.6</v>
      </c>
      <c r="O271" s="6">
        <v>0</v>
      </c>
      <c r="P271" s="6">
        <f t="shared" si="21"/>
        <v>0</v>
      </c>
      <c r="Q271" s="6">
        <f t="shared" si="22"/>
        <v>23802.6</v>
      </c>
      <c r="R271" s="6" t="str">
        <f t="shared" si="23"/>
        <v>High Sale</v>
      </c>
      <c r="S271" s="6" t="str" cm="1">
        <f t="array" ref="S271">_xlfn.IFS(L271&gt;5,"High",L271=5,"Medium",L271&lt;5,"Low")</f>
        <v>High</v>
      </c>
      <c r="T271" s="6" t="str">
        <f t="shared" si="24"/>
        <v>High</v>
      </c>
    </row>
    <row r="272" spans="1:20" x14ac:dyDescent="0.25">
      <c r="A272" s="6">
        <v>10328</v>
      </c>
      <c r="B272" s="6">
        <v>1348</v>
      </c>
      <c r="C272" s="11">
        <v>45245</v>
      </c>
      <c r="D272" s="11">
        <v>45250</v>
      </c>
      <c r="E272" s="6" t="s">
        <v>85</v>
      </c>
      <c r="F272" s="6" t="s">
        <v>117</v>
      </c>
      <c r="G272" s="6" t="s">
        <v>87</v>
      </c>
      <c r="H272" s="6" t="s">
        <v>88</v>
      </c>
      <c r="I272" s="6" t="s">
        <v>115</v>
      </c>
      <c r="J272" s="6" t="s">
        <v>116</v>
      </c>
      <c r="K272" s="6" t="s">
        <v>108</v>
      </c>
      <c r="L272" s="6">
        <v>2</v>
      </c>
      <c r="M272" s="6">
        <v>2948.33</v>
      </c>
      <c r="N272" s="13">
        <f t="shared" si="20"/>
        <v>5896.66</v>
      </c>
      <c r="O272" s="6">
        <v>15</v>
      </c>
      <c r="P272" s="6">
        <f t="shared" si="21"/>
        <v>884.49899999999991</v>
      </c>
      <c r="Q272" s="6">
        <f t="shared" si="22"/>
        <v>5012.1610000000001</v>
      </c>
      <c r="R272" s="6" t="str">
        <f t="shared" si="23"/>
        <v>Low Sale</v>
      </c>
      <c r="S272" s="6" t="str" cm="1">
        <f t="array" ref="S272">_xlfn.IFS(L272&gt;5,"High",L272=5,"Medium",L272&lt;5,"Low")</f>
        <v>Low</v>
      </c>
      <c r="T272" s="6" t="str">
        <f t="shared" si="24"/>
        <v>Low</v>
      </c>
    </row>
    <row r="273" spans="1:20" x14ac:dyDescent="0.25">
      <c r="A273" s="6">
        <v>10329</v>
      </c>
      <c r="B273" s="6">
        <v>1770</v>
      </c>
      <c r="C273" s="11">
        <v>44975</v>
      </c>
      <c r="D273" s="11">
        <v>44976</v>
      </c>
      <c r="E273" s="6" t="s">
        <v>103</v>
      </c>
      <c r="F273" s="6" t="s">
        <v>101</v>
      </c>
      <c r="G273" s="6" t="s">
        <v>80</v>
      </c>
      <c r="H273" s="6" t="s">
        <v>107</v>
      </c>
      <c r="I273" s="6" t="s">
        <v>89</v>
      </c>
      <c r="J273" s="6" t="s">
        <v>90</v>
      </c>
      <c r="K273" s="6" t="s">
        <v>110</v>
      </c>
      <c r="L273" s="6">
        <v>1</v>
      </c>
      <c r="M273" s="6">
        <v>3171.36</v>
      </c>
      <c r="N273" s="13">
        <f t="shared" si="20"/>
        <v>3171.36</v>
      </c>
      <c r="O273" s="6">
        <v>20</v>
      </c>
      <c r="P273" s="6">
        <f t="shared" si="21"/>
        <v>634.27200000000005</v>
      </c>
      <c r="Q273" s="6">
        <f t="shared" si="22"/>
        <v>2537.0880000000002</v>
      </c>
      <c r="R273" s="6" t="str">
        <f t="shared" si="23"/>
        <v>Low Sale</v>
      </c>
      <c r="S273" s="6" t="str" cm="1">
        <f t="array" ref="S273">_xlfn.IFS(L273&gt;5,"High",L273=5,"Medium",L273&lt;5,"Low")</f>
        <v>Low</v>
      </c>
      <c r="T273" s="6" t="str">
        <f t="shared" si="24"/>
        <v>Low</v>
      </c>
    </row>
    <row r="274" spans="1:20" x14ac:dyDescent="0.25">
      <c r="A274" s="6">
        <v>10330</v>
      </c>
      <c r="B274" s="6">
        <v>1659</v>
      </c>
      <c r="C274" s="11">
        <v>44958</v>
      </c>
      <c r="D274" s="11">
        <v>44966</v>
      </c>
      <c r="E274" s="6" t="s">
        <v>100</v>
      </c>
      <c r="F274" s="6" t="s">
        <v>117</v>
      </c>
      <c r="G274" s="6" t="s">
        <v>80</v>
      </c>
      <c r="H274" s="6" t="s">
        <v>107</v>
      </c>
      <c r="I274" s="6" t="s">
        <v>115</v>
      </c>
      <c r="J274" s="6" t="s">
        <v>127</v>
      </c>
      <c r="K274" s="6" t="s">
        <v>84</v>
      </c>
      <c r="L274" s="6">
        <v>7</v>
      </c>
      <c r="M274" s="6">
        <v>3978.5</v>
      </c>
      <c r="N274" s="13">
        <f t="shared" si="20"/>
        <v>27849.5</v>
      </c>
      <c r="O274" s="6">
        <v>20</v>
      </c>
      <c r="P274" s="6">
        <f t="shared" si="21"/>
        <v>5569.9000000000005</v>
      </c>
      <c r="Q274" s="6">
        <f t="shared" si="22"/>
        <v>22279.599999999999</v>
      </c>
      <c r="R274" s="6" t="str">
        <f t="shared" si="23"/>
        <v>High Sale</v>
      </c>
      <c r="S274" s="6" t="str" cm="1">
        <f t="array" ref="S274">_xlfn.IFS(L274&gt;5,"High",L274=5,"Medium",L274&lt;5,"Low")</f>
        <v>High</v>
      </c>
      <c r="T274" s="6" t="str">
        <f t="shared" si="24"/>
        <v>High</v>
      </c>
    </row>
    <row r="275" spans="1:20" x14ac:dyDescent="0.25">
      <c r="A275" s="6">
        <v>10332</v>
      </c>
      <c r="B275" s="6">
        <v>1954</v>
      </c>
      <c r="C275" s="11">
        <v>44946</v>
      </c>
      <c r="D275" s="11">
        <v>44955</v>
      </c>
      <c r="E275" s="6" t="s">
        <v>78</v>
      </c>
      <c r="F275" s="6" t="s">
        <v>86</v>
      </c>
      <c r="G275" s="6" t="s">
        <v>80</v>
      </c>
      <c r="H275" s="6" t="s">
        <v>105</v>
      </c>
      <c r="I275" s="6" t="s">
        <v>120</v>
      </c>
      <c r="J275" s="6" t="s">
        <v>129</v>
      </c>
      <c r="K275" s="6" t="s">
        <v>84</v>
      </c>
      <c r="L275" s="6">
        <v>2</v>
      </c>
      <c r="M275" s="6">
        <v>1335.36</v>
      </c>
      <c r="N275" s="13">
        <f t="shared" si="20"/>
        <v>2670.72</v>
      </c>
      <c r="O275" s="6">
        <v>5</v>
      </c>
      <c r="P275" s="6">
        <f t="shared" si="21"/>
        <v>133.536</v>
      </c>
      <c r="Q275" s="6">
        <f t="shared" si="22"/>
        <v>2537.1839999999997</v>
      </c>
      <c r="R275" s="6" t="str">
        <f t="shared" si="23"/>
        <v>Low Sale</v>
      </c>
      <c r="S275" s="6" t="str" cm="1">
        <f t="array" ref="S275">_xlfn.IFS(L275&gt;5,"High",L275=5,"Medium",L275&lt;5,"Low")</f>
        <v>Low</v>
      </c>
      <c r="T275" s="6" t="str">
        <f t="shared" si="24"/>
        <v>Low</v>
      </c>
    </row>
    <row r="276" spans="1:20" x14ac:dyDescent="0.25">
      <c r="A276" s="6">
        <v>10336</v>
      </c>
      <c r="B276" s="6">
        <v>1962</v>
      </c>
      <c r="C276" s="11">
        <v>45069</v>
      </c>
      <c r="D276" s="11">
        <v>45072</v>
      </c>
      <c r="E276" s="6" t="s">
        <v>79</v>
      </c>
      <c r="F276" s="6" t="s">
        <v>104</v>
      </c>
      <c r="G276" s="6" t="s">
        <v>87</v>
      </c>
      <c r="H276" s="6" t="s">
        <v>105</v>
      </c>
      <c r="I276" s="6" t="s">
        <v>82</v>
      </c>
      <c r="J276" s="6" t="s">
        <v>132</v>
      </c>
      <c r="K276" s="6" t="s">
        <v>96</v>
      </c>
      <c r="L276" s="6">
        <v>1</v>
      </c>
      <c r="M276" s="6">
        <v>1126.5</v>
      </c>
      <c r="N276" s="13">
        <f t="shared" si="20"/>
        <v>1126.5</v>
      </c>
      <c r="O276" s="6">
        <v>15</v>
      </c>
      <c r="P276" s="6">
        <f t="shared" si="21"/>
        <v>168.97499999999999</v>
      </c>
      <c r="Q276" s="6">
        <f t="shared" si="22"/>
        <v>957.52499999999998</v>
      </c>
      <c r="R276" s="6" t="str">
        <f t="shared" si="23"/>
        <v>Low Sale</v>
      </c>
      <c r="S276" s="6" t="str" cm="1">
        <f t="array" ref="S276">_xlfn.IFS(L276&gt;5,"High",L276=5,"Medium",L276&lt;5,"Low")</f>
        <v>Low</v>
      </c>
      <c r="T276" s="6" t="str">
        <f t="shared" si="24"/>
        <v>Low</v>
      </c>
    </row>
    <row r="277" spans="1:20" x14ac:dyDescent="0.25">
      <c r="A277" s="6">
        <v>10338</v>
      </c>
      <c r="B277" s="6">
        <v>1146</v>
      </c>
      <c r="C277" s="11">
        <v>45139</v>
      </c>
      <c r="D277" s="11">
        <v>45145</v>
      </c>
      <c r="E277" s="6" t="s">
        <v>85</v>
      </c>
      <c r="F277" s="6" t="s">
        <v>92</v>
      </c>
      <c r="G277" s="6" t="s">
        <v>93</v>
      </c>
      <c r="H277" s="6" t="s">
        <v>105</v>
      </c>
      <c r="I277" s="6" t="s">
        <v>112</v>
      </c>
      <c r="J277" s="6" t="s">
        <v>113</v>
      </c>
      <c r="K277" s="6" t="s">
        <v>84</v>
      </c>
      <c r="L277" s="6">
        <v>3</v>
      </c>
      <c r="M277" s="6">
        <v>464.42</v>
      </c>
      <c r="N277" s="13">
        <f t="shared" si="20"/>
        <v>1393.26</v>
      </c>
      <c r="O277" s="6">
        <v>20</v>
      </c>
      <c r="P277" s="6">
        <f t="shared" si="21"/>
        <v>278.65199999999999</v>
      </c>
      <c r="Q277" s="6">
        <f t="shared" si="22"/>
        <v>1114.6079999999999</v>
      </c>
      <c r="R277" s="6" t="str">
        <f t="shared" si="23"/>
        <v>Low Sale</v>
      </c>
      <c r="S277" s="6" t="str" cm="1">
        <f t="array" ref="S277">_xlfn.IFS(L277&gt;5,"High",L277=5,"Medium",L277&lt;5,"Low")</f>
        <v>Low</v>
      </c>
      <c r="T277" s="6" t="str">
        <f t="shared" si="24"/>
        <v>Low</v>
      </c>
    </row>
    <row r="278" spans="1:20" x14ac:dyDescent="0.25">
      <c r="A278" s="6">
        <v>10339</v>
      </c>
      <c r="B278" s="6">
        <v>1147</v>
      </c>
      <c r="C278" s="11">
        <v>45005</v>
      </c>
      <c r="D278" s="11">
        <v>45012</v>
      </c>
      <c r="E278" s="6" t="s">
        <v>78</v>
      </c>
      <c r="F278" s="6" t="s">
        <v>117</v>
      </c>
      <c r="G278" s="6" t="s">
        <v>80</v>
      </c>
      <c r="H278" s="6" t="s">
        <v>88</v>
      </c>
      <c r="I278" s="6" t="s">
        <v>94</v>
      </c>
      <c r="J278" s="6" t="s">
        <v>95</v>
      </c>
      <c r="K278" s="6" t="s">
        <v>84</v>
      </c>
      <c r="L278" s="6">
        <v>4</v>
      </c>
      <c r="M278" s="6">
        <v>3708.51</v>
      </c>
      <c r="N278" s="13">
        <f t="shared" si="20"/>
        <v>14834.04</v>
      </c>
      <c r="O278" s="6">
        <v>5</v>
      </c>
      <c r="P278" s="6">
        <f t="shared" si="21"/>
        <v>741.70200000000011</v>
      </c>
      <c r="Q278" s="6">
        <f t="shared" si="22"/>
        <v>14092.338000000002</v>
      </c>
      <c r="R278" s="6" t="str">
        <f t="shared" si="23"/>
        <v>Low Sale</v>
      </c>
      <c r="S278" s="6" t="str" cm="1">
        <f t="array" ref="S278">_xlfn.IFS(L278&gt;5,"High",L278=5,"Medium",L278&lt;5,"Low")</f>
        <v>Low</v>
      </c>
      <c r="T278" s="6" t="str">
        <f t="shared" si="24"/>
        <v>Low</v>
      </c>
    </row>
    <row r="279" spans="1:20" x14ac:dyDescent="0.25">
      <c r="A279" s="6">
        <v>10341</v>
      </c>
      <c r="B279" s="6">
        <v>1710</v>
      </c>
      <c r="C279" s="11">
        <v>45042</v>
      </c>
      <c r="D279" s="11">
        <v>45048</v>
      </c>
      <c r="E279" s="6" t="s">
        <v>79</v>
      </c>
      <c r="F279" s="6" t="s">
        <v>92</v>
      </c>
      <c r="G279" s="6" t="s">
        <v>80</v>
      </c>
      <c r="H279" s="6" t="s">
        <v>98</v>
      </c>
      <c r="I279" s="6" t="s">
        <v>112</v>
      </c>
      <c r="J279" s="6" t="s">
        <v>114</v>
      </c>
      <c r="K279" s="6" t="s">
        <v>91</v>
      </c>
      <c r="L279" s="6">
        <v>4</v>
      </c>
      <c r="M279" s="6">
        <v>641.92999999999995</v>
      </c>
      <c r="N279" s="13">
        <f t="shared" si="20"/>
        <v>2567.7199999999998</v>
      </c>
      <c r="O279" s="6">
        <v>0</v>
      </c>
      <c r="P279" s="6">
        <f t="shared" si="21"/>
        <v>0</v>
      </c>
      <c r="Q279" s="6">
        <f t="shared" si="22"/>
        <v>2567.7199999999998</v>
      </c>
      <c r="R279" s="6" t="str">
        <f t="shared" si="23"/>
        <v>Low Sale</v>
      </c>
      <c r="S279" s="6" t="str" cm="1">
        <f t="array" ref="S279">_xlfn.IFS(L279&gt;5,"High",L279=5,"Medium",L279&lt;5,"Low")</f>
        <v>Low</v>
      </c>
      <c r="T279" s="6" t="str">
        <f t="shared" si="24"/>
        <v>Low</v>
      </c>
    </row>
    <row r="280" spans="1:20" x14ac:dyDescent="0.25">
      <c r="A280" s="6">
        <v>10342</v>
      </c>
      <c r="B280" s="6">
        <v>1819</v>
      </c>
      <c r="C280" s="11">
        <v>45018</v>
      </c>
      <c r="D280" s="11">
        <v>45019</v>
      </c>
      <c r="E280" s="6" t="s">
        <v>78</v>
      </c>
      <c r="F280" s="6" t="s">
        <v>117</v>
      </c>
      <c r="G280" s="6" t="s">
        <v>80</v>
      </c>
      <c r="H280" s="6" t="s">
        <v>98</v>
      </c>
      <c r="I280" s="6" t="s">
        <v>89</v>
      </c>
      <c r="J280" s="6" t="s">
        <v>90</v>
      </c>
      <c r="K280" s="6" t="s">
        <v>110</v>
      </c>
      <c r="L280" s="6">
        <v>5</v>
      </c>
      <c r="M280" s="6">
        <v>1853.11</v>
      </c>
      <c r="N280" s="13">
        <f t="shared" si="20"/>
        <v>9265.5499999999993</v>
      </c>
      <c r="O280" s="6">
        <v>10</v>
      </c>
      <c r="P280" s="6">
        <f t="shared" si="21"/>
        <v>926.55499999999995</v>
      </c>
      <c r="Q280" s="6">
        <f t="shared" si="22"/>
        <v>8338.994999999999</v>
      </c>
      <c r="R280" s="6" t="str">
        <f t="shared" si="23"/>
        <v>High Sale</v>
      </c>
      <c r="S280" s="6" t="str" cm="1">
        <f t="array" ref="S280">_xlfn.IFS(L280&gt;5,"High",L280=5,"Medium",L280&lt;5,"Low")</f>
        <v>Medium</v>
      </c>
      <c r="T280" s="6" t="str">
        <f t="shared" si="24"/>
        <v>Medium</v>
      </c>
    </row>
    <row r="281" spans="1:20" x14ac:dyDescent="0.25">
      <c r="A281" s="6">
        <v>10343</v>
      </c>
      <c r="B281" s="6">
        <v>1488</v>
      </c>
      <c r="C281" s="11">
        <v>45196</v>
      </c>
      <c r="D281" s="11">
        <v>45204</v>
      </c>
      <c r="E281" s="6" t="s">
        <v>109</v>
      </c>
      <c r="F281" s="6" t="s">
        <v>86</v>
      </c>
      <c r="G281" s="6" t="s">
        <v>80</v>
      </c>
      <c r="H281" s="6" t="s">
        <v>81</v>
      </c>
      <c r="I281" s="6" t="s">
        <v>112</v>
      </c>
      <c r="J281" s="6" t="s">
        <v>114</v>
      </c>
      <c r="K281" s="6" t="s">
        <v>84</v>
      </c>
      <c r="L281" s="6">
        <v>7</v>
      </c>
      <c r="M281" s="6">
        <v>313.51</v>
      </c>
      <c r="N281" s="13">
        <f t="shared" si="20"/>
        <v>2194.5699999999997</v>
      </c>
      <c r="O281" s="6">
        <v>0</v>
      </c>
      <c r="P281" s="6">
        <f t="shared" si="21"/>
        <v>0</v>
      </c>
      <c r="Q281" s="6">
        <f t="shared" si="22"/>
        <v>2194.5699999999997</v>
      </c>
      <c r="R281" s="6" t="str">
        <f t="shared" si="23"/>
        <v>High Sale</v>
      </c>
      <c r="S281" s="6" t="str" cm="1">
        <f t="array" ref="S281">_xlfn.IFS(L281&gt;5,"High",L281=5,"Medium",L281&lt;5,"Low")</f>
        <v>High</v>
      </c>
      <c r="T281" s="6" t="str">
        <f t="shared" si="24"/>
        <v>High</v>
      </c>
    </row>
    <row r="282" spans="1:20" x14ac:dyDescent="0.25">
      <c r="A282" s="6">
        <v>10344</v>
      </c>
      <c r="B282" s="6">
        <v>1928</v>
      </c>
      <c r="C282" s="11">
        <v>45094</v>
      </c>
      <c r="D282" s="11">
        <v>45101</v>
      </c>
      <c r="E282" s="6" t="s">
        <v>85</v>
      </c>
      <c r="F282" s="6" t="s">
        <v>92</v>
      </c>
      <c r="G282" s="6" t="s">
        <v>93</v>
      </c>
      <c r="H282" s="6" t="s">
        <v>107</v>
      </c>
      <c r="I282" s="6" t="s">
        <v>115</v>
      </c>
      <c r="J282" s="6" t="s">
        <v>119</v>
      </c>
      <c r="K282" s="6" t="s">
        <v>96</v>
      </c>
      <c r="L282" s="6">
        <v>4</v>
      </c>
      <c r="M282" s="6">
        <v>2785.81</v>
      </c>
      <c r="N282" s="13">
        <f t="shared" si="20"/>
        <v>11143.24</v>
      </c>
      <c r="O282" s="6">
        <v>20</v>
      </c>
      <c r="P282" s="6">
        <f t="shared" si="21"/>
        <v>2228.6480000000001</v>
      </c>
      <c r="Q282" s="6">
        <f t="shared" si="22"/>
        <v>8914.5920000000006</v>
      </c>
      <c r="R282" s="6" t="str">
        <f t="shared" si="23"/>
        <v>Low Sale</v>
      </c>
      <c r="S282" s="6" t="str" cm="1">
        <f t="array" ref="S282">_xlfn.IFS(L282&gt;5,"High",L282=5,"Medium",L282&lt;5,"Low")</f>
        <v>Low</v>
      </c>
      <c r="T282" s="6" t="str">
        <f t="shared" si="24"/>
        <v>Low</v>
      </c>
    </row>
    <row r="283" spans="1:20" x14ac:dyDescent="0.25">
      <c r="A283" s="6">
        <v>10345</v>
      </c>
      <c r="B283" s="6">
        <v>1935</v>
      </c>
      <c r="C283" s="11">
        <v>44984</v>
      </c>
      <c r="D283" s="11">
        <v>44993</v>
      </c>
      <c r="E283" s="6" t="s">
        <v>97</v>
      </c>
      <c r="F283" s="6" t="s">
        <v>92</v>
      </c>
      <c r="G283" s="6" t="s">
        <v>93</v>
      </c>
      <c r="H283" s="6" t="s">
        <v>105</v>
      </c>
      <c r="I283" s="6" t="s">
        <v>89</v>
      </c>
      <c r="J283" s="6" t="s">
        <v>99</v>
      </c>
      <c r="K283" s="6" t="s">
        <v>108</v>
      </c>
      <c r="L283" s="6">
        <v>1</v>
      </c>
      <c r="M283" s="6">
        <v>3625.42</v>
      </c>
      <c r="N283" s="13">
        <f t="shared" si="20"/>
        <v>3625.42</v>
      </c>
      <c r="O283" s="6">
        <v>10</v>
      </c>
      <c r="P283" s="6">
        <f t="shared" si="21"/>
        <v>362.54200000000003</v>
      </c>
      <c r="Q283" s="6">
        <f t="shared" si="22"/>
        <v>3262.8780000000002</v>
      </c>
      <c r="R283" s="6" t="str">
        <f t="shared" si="23"/>
        <v>Low Sale</v>
      </c>
      <c r="S283" s="6" t="str" cm="1">
        <f t="array" ref="S283">_xlfn.IFS(L283&gt;5,"High",L283=5,"Medium",L283&lt;5,"Low")</f>
        <v>Low</v>
      </c>
      <c r="T283" s="6" t="str">
        <f t="shared" si="24"/>
        <v>Low</v>
      </c>
    </row>
    <row r="284" spans="1:20" x14ac:dyDescent="0.25">
      <c r="A284" s="6">
        <v>10347</v>
      </c>
      <c r="B284" s="6">
        <v>1550</v>
      </c>
      <c r="C284" s="11">
        <v>44952</v>
      </c>
      <c r="D284" s="11">
        <v>44954</v>
      </c>
      <c r="E284" s="6" t="s">
        <v>78</v>
      </c>
      <c r="F284" s="6" t="s">
        <v>92</v>
      </c>
      <c r="G284" s="6" t="s">
        <v>87</v>
      </c>
      <c r="H284" s="6" t="s">
        <v>107</v>
      </c>
      <c r="I284" s="6" t="s">
        <v>82</v>
      </c>
      <c r="J284" s="6" t="s">
        <v>83</v>
      </c>
      <c r="K284" s="6" t="s">
        <v>108</v>
      </c>
      <c r="L284" s="6">
        <v>4</v>
      </c>
      <c r="M284" s="6">
        <v>640.37</v>
      </c>
      <c r="N284" s="13">
        <f t="shared" si="20"/>
        <v>2561.48</v>
      </c>
      <c r="O284" s="6">
        <v>20</v>
      </c>
      <c r="P284" s="6">
        <f t="shared" si="21"/>
        <v>512.29600000000005</v>
      </c>
      <c r="Q284" s="6">
        <f t="shared" si="22"/>
        <v>2049.1840000000002</v>
      </c>
      <c r="R284" s="6" t="str">
        <f t="shared" si="23"/>
        <v>Low Sale</v>
      </c>
      <c r="S284" s="6" t="str" cm="1">
        <f t="array" ref="S284">_xlfn.IFS(L284&gt;5,"High",L284=5,"Medium",L284&lt;5,"Low")</f>
        <v>Low</v>
      </c>
      <c r="T284" s="6" t="str">
        <f t="shared" si="24"/>
        <v>Low</v>
      </c>
    </row>
    <row r="285" spans="1:20" x14ac:dyDescent="0.25">
      <c r="A285" s="6">
        <v>10350</v>
      </c>
      <c r="B285" s="6">
        <v>1640</v>
      </c>
      <c r="C285" s="11">
        <v>45180</v>
      </c>
      <c r="D285" s="11">
        <v>45185</v>
      </c>
      <c r="E285" s="6" t="s">
        <v>78</v>
      </c>
      <c r="F285" s="6" t="s">
        <v>104</v>
      </c>
      <c r="G285" s="6" t="s">
        <v>80</v>
      </c>
      <c r="H285" s="6" t="s">
        <v>107</v>
      </c>
      <c r="I285" s="6" t="s">
        <v>120</v>
      </c>
      <c r="J285" s="6" t="s">
        <v>125</v>
      </c>
      <c r="K285" s="6" t="s">
        <v>84</v>
      </c>
      <c r="L285" s="6">
        <v>1</v>
      </c>
      <c r="M285" s="6">
        <v>3708.38</v>
      </c>
      <c r="N285" s="13">
        <f t="shared" si="20"/>
        <v>3708.38</v>
      </c>
      <c r="O285" s="6">
        <v>20</v>
      </c>
      <c r="P285" s="6">
        <f t="shared" si="21"/>
        <v>741.67600000000004</v>
      </c>
      <c r="Q285" s="6">
        <f t="shared" si="22"/>
        <v>2966.7040000000002</v>
      </c>
      <c r="R285" s="6" t="str">
        <f t="shared" si="23"/>
        <v>Low Sale</v>
      </c>
      <c r="S285" s="6" t="str" cm="1">
        <f t="array" ref="S285">_xlfn.IFS(L285&gt;5,"High",L285=5,"Medium",L285&lt;5,"Low")</f>
        <v>Low</v>
      </c>
      <c r="T285" s="6" t="str">
        <f t="shared" si="24"/>
        <v>Low</v>
      </c>
    </row>
    <row r="286" spans="1:20" x14ac:dyDescent="0.25">
      <c r="A286" s="6">
        <v>10351</v>
      </c>
      <c r="B286" s="6">
        <v>1778</v>
      </c>
      <c r="C286" s="11">
        <v>44970</v>
      </c>
      <c r="D286" s="11">
        <v>44972</v>
      </c>
      <c r="E286" s="6" t="s">
        <v>109</v>
      </c>
      <c r="F286" s="6" t="s">
        <v>79</v>
      </c>
      <c r="G286" s="6" t="s">
        <v>93</v>
      </c>
      <c r="H286" s="6" t="s">
        <v>98</v>
      </c>
      <c r="I286" s="6" t="s">
        <v>94</v>
      </c>
      <c r="J286" s="6" t="s">
        <v>95</v>
      </c>
      <c r="K286" s="6" t="s">
        <v>108</v>
      </c>
      <c r="L286" s="6">
        <v>3</v>
      </c>
      <c r="M286" s="6">
        <v>1923.58</v>
      </c>
      <c r="N286" s="13">
        <f t="shared" si="20"/>
        <v>5770.74</v>
      </c>
      <c r="O286" s="6">
        <v>15</v>
      </c>
      <c r="P286" s="6">
        <f t="shared" si="21"/>
        <v>865.61099999999999</v>
      </c>
      <c r="Q286" s="6">
        <f t="shared" si="22"/>
        <v>4905.1289999999999</v>
      </c>
      <c r="R286" s="6" t="str">
        <f t="shared" si="23"/>
        <v>Low Sale</v>
      </c>
      <c r="S286" s="6" t="str" cm="1">
        <f t="array" ref="S286">_xlfn.IFS(L286&gt;5,"High",L286=5,"Medium",L286&lt;5,"Low")</f>
        <v>Low</v>
      </c>
      <c r="T286" s="6" t="str">
        <f t="shared" si="24"/>
        <v>Low</v>
      </c>
    </row>
    <row r="287" spans="1:20" x14ac:dyDescent="0.25">
      <c r="A287" s="6">
        <v>10352</v>
      </c>
      <c r="B287" s="6">
        <v>1987</v>
      </c>
      <c r="C287" s="11">
        <v>45023</v>
      </c>
      <c r="D287" s="11">
        <v>45026</v>
      </c>
      <c r="E287" s="6" t="s">
        <v>109</v>
      </c>
      <c r="F287" s="6" t="s">
        <v>86</v>
      </c>
      <c r="G287" s="6" t="s">
        <v>93</v>
      </c>
      <c r="H287" s="6" t="s">
        <v>81</v>
      </c>
      <c r="I287" s="6" t="s">
        <v>89</v>
      </c>
      <c r="J287" s="6" t="s">
        <v>99</v>
      </c>
      <c r="K287" s="6" t="s">
        <v>108</v>
      </c>
      <c r="L287" s="6">
        <v>2</v>
      </c>
      <c r="M287" s="6">
        <v>2071.04</v>
      </c>
      <c r="N287" s="13">
        <f t="shared" si="20"/>
        <v>4142.08</v>
      </c>
      <c r="O287" s="6">
        <v>20</v>
      </c>
      <c r="P287" s="6">
        <f t="shared" si="21"/>
        <v>828.41600000000005</v>
      </c>
      <c r="Q287" s="6">
        <f t="shared" si="22"/>
        <v>3313.6639999999998</v>
      </c>
      <c r="R287" s="6" t="str">
        <f t="shared" si="23"/>
        <v>Low Sale</v>
      </c>
      <c r="S287" s="6" t="str" cm="1">
        <f t="array" ref="S287">_xlfn.IFS(L287&gt;5,"High",L287=5,"Medium",L287&lt;5,"Low")</f>
        <v>Low</v>
      </c>
      <c r="T287" s="6" t="str">
        <f t="shared" si="24"/>
        <v>Low</v>
      </c>
    </row>
    <row r="288" spans="1:20" x14ac:dyDescent="0.25">
      <c r="A288" s="6">
        <v>10355</v>
      </c>
      <c r="B288" s="6">
        <v>1945</v>
      </c>
      <c r="C288" s="11">
        <v>45188</v>
      </c>
      <c r="D288" s="11">
        <v>45191</v>
      </c>
      <c r="E288" s="6" t="s">
        <v>100</v>
      </c>
      <c r="F288" s="6" t="s">
        <v>86</v>
      </c>
      <c r="G288" s="6" t="s">
        <v>93</v>
      </c>
      <c r="H288" s="6" t="s">
        <v>98</v>
      </c>
      <c r="I288" s="6" t="s">
        <v>115</v>
      </c>
      <c r="J288" s="6" t="s">
        <v>116</v>
      </c>
      <c r="K288" s="6" t="s">
        <v>84</v>
      </c>
      <c r="L288" s="6">
        <v>9</v>
      </c>
      <c r="M288" s="6">
        <v>2632.88</v>
      </c>
      <c r="N288" s="13">
        <f t="shared" si="20"/>
        <v>23695.920000000002</v>
      </c>
      <c r="O288" s="6">
        <v>5</v>
      </c>
      <c r="P288" s="6">
        <f t="shared" si="21"/>
        <v>1184.796</v>
      </c>
      <c r="Q288" s="6">
        <f t="shared" si="22"/>
        <v>22511.124000000003</v>
      </c>
      <c r="R288" s="6" t="str">
        <f t="shared" si="23"/>
        <v>High Sale</v>
      </c>
      <c r="S288" s="6" t="str" cm="1">
        <f t="array" ref="S288">_xlfn.IFS(L288&gt;5,"High",L288=5,"Medium",L288&lt;5,"Low")</f>
        <v>High</v>
      </c>
      <c r="T288" s="6" t="str">
        <f t="shared" si="24"/>
        <v>High</v>
      </c>
    </row>
    <row r="289" spans="1:20" x14ac:dyDescent="0.25">
      <c r="A289" s="6">
        <v>10356</v>
      </c>
      <c r="B289" s="6">
        <v>1150</v>
      </c>
      <c r="C289" s="11">
        <v>45093</v>
      </c>
      <c r="D289" s="11">
        <v>45102</v>
      </c>
      <c r="E289" s="6" t="s">
        <v>79</v>
      </c>
      <c r="F289" s="6" t="s">
        <v>101</v>
      </c>
      <c r="G289" s="6" t="s">
        <v>93</v>
      </c>
      <c r="H289" s="6" t="s">
        <v>105</v>
      </c>
      <c r="I289" s="6" t="s">
        <v>94</v>
      </c>
      <c r="J289" s="6" t="s">
        <v>111</v>
      </c>
      <c r="K289" s="6" t="s">
        <v>84</v>
      </c>
      <c r="L289" s="6">
        <v>9</v>
      </c>
      <c r="M289" s="6">
        <v>1259.77</v>
      </c>
      <c r="N289" s="13">
        <f t="shared" si="20"/>
        <v>11337.93</v>
      </c>
      <c r="O289" s="6">
        <v>15</v>
      </c>
      <c r="P289" s="6">
        <f t="shared" si="21"/>
        <v>1700.6895</v>
      </c>
      <c r="Q289" s="6">
        <f t="shared" si="22"/>
        <v>9637.2404999999999</v>
      </c>
      <c r="R289" s="6" t="str">
        <f t="shared" si="23"/>
        <v>High Sale</v>
      </c>
      <c r="S289" s="6" t="str" cm="1">
        <f t="array" ref="S289">_xlfn.IFS(L289&gt;5,"High",L289=5,"Medium",L289&lt;5,"Low")</f>
        <v>High</v>
      </c>
      <c r="T289" s="6" t="str">
        <f t="shared" si="24"/>
        <v>High</v>
      </c>
    </row>
    <row r="290" spans="1:20" x14ac:dyDescent="0.25">
      <c r="A290" s="6">
        <v>10357</v>
      </c>
      <c r="B290" s="6">
        <v>1414</v>
      </c>
      <c r="C290" s="11">
        <v>45205</v>
      </c>
      <c r="D290" s="11">
        <v>45213</v>
      </c>
      <c r="E290" s="6" t="s">
        <v>100</v>
      </c>
      <c r="F290" s="6" t="s">
        <v>101</v>
      </c>
      <c r="G290" s="6" t="s">
        <v>80</v>
      </c>
      <c r="H290" s="6" t="s">
        <v>88</v>
      </c>
      <c r="I290" s="6" t="s">
        <v>120</v>
      </c>
      <c r="J290" s="6" t="s">
        <v>121</v>
      </c>
      <c r="K290" s="6" t="s">
        <v>91</v>
      </c>
      <c r="L290" s="6">
        <v>8</v>
      </c>
      <c r="M290" s="6">
        <v>1300.31</v>
      </c>
      <c r="N290" s="13">
        <f t="shared" si="20"/>
        <v>10402.48</v>
      </c>
      <c r="O290" s="6">
        <v>0</v>
      </c>
      <c r="P290" s="6">
        <f t="shared" si="21"/>
        <v>0</v>
      </c>
      <c r="Q290" s="6">
        <f t="shared" si="22"/>
        <v>10402.48</v>
      </c>
      <c r="R290" s="6" t="str">
        <f t="shared" si="23"/>
        <v>High Sale</v>
      </c>
      <c r="S290" s="6" t="str" cm="1">
        <f t="array" ref="S290">_xlfn.IFS(L290&gt;5,"High",L290=5,"Medium",L290&lt;5,"Low")</f>
        <v>High</v>
      </c>
      <c r="T290" s="6" t="str">
        <f t="shared" si="24"/>
        <v>High</v>
      </c>
    </row>
    <row r="291" spans="1:20" x14ac:dyDescent="0.25">
      <c r="A291" s="6">
        <v>10358</v>
      </c>
      <c r="B291" s="6">
        <v>1989</v>
      </c>
      <c r="C291" s="11">
        <v>45015</v>
      </c>
      <c r="D291" s="11">
        <v>45019</v>
      </c>
      <c r="E291" s="6" t="s">
        <v>78</v>
      </c>
      <c r="F291" s="6" t="s">
        <v>92</v>
      </c>
      <c r="G291" s="6" t="s">
        <v>93</v>
      </c>
      <c r="H291" s="6" t="s">
        <v>98</v>
      </c>
      <c r="I291" s="6" t="s">
        <v>120</v>
      </c>
      <c r="J291" s="6" t="s">
        <v>121</v>
      </c>
      <c r="K291" s="6" t="s">
        <v>96</v>
      </c>
      <c r="L291" s="6">
        <v>8</v>
      </c>
      <c r="M291" s="6">
        <v>3581.12</v>
      </c>
      <c r="N291" s="13">
        <f t="shared" si="20"/>
        <v>28648.959999999999</v>
      </c>
      <c r="O291" s="6">
        <v>15</v>
      </c>
      <c r="P291" s="6">
        <f t="shared" si="21"/>
        <v>4297.3440000000001</v>
      </c>
      <c r="Q291" s="6">
        <f t="shared" si="22"/>
        <v>24351.615999999998</v>
      </c>
      <c r="R291" s="6" t="str">
        <f t="shared" si="23"/>
        <v>High Sale</v>
      </c>
      <c r="S291" s="6" t="str" cm="1">
        <f t="array" ref="S291">_xlfn.IFS(L291&gt;5,"High",L291=5,"Medium",L291&lt;5,"Low")</f>
        <v>High</v>
      </c>
      <c r="T291" s="6" t="str">
        <f t="shared" si="24"/>
        <v>High</v>
      </c>
    </row>
    <row r="292" spans="1:20" x14ac:dyDescent="0.25">
      <c r="A292" s="6">
        <v>10359</v>
      </c>
      <c r="B292" s="6">
        <v>1297</v>
      </c>
      <c r="C292" s="11">
        <v>45104</v>
      </c>
      <c r="D292" s="11">
        <v>45105</v>
      </c>
      <c r="E292" s="6" t="s">
        <v>79</v>
      </c>
      <c r="F292" s="6" t="s">
        <v>104</v>
      </c>
      <c r="G292" s="6" t="s">
        <v>80</v>
      </c>
      <c r="H292" s="6" t="s">
        <v>88</v>
      </c>
      <c r="I292" s="6" t="s">
        <v>94</v>
      </c>
      <c r="J292" s="6" t="s">
        <v>111</v>
      </c>
      <c r="K292" s="6" t="s">
        <v>110</v>
      </c>
      <c r="L292" s="6">
        <v>1</v>
      </c>
      <c r="M292" s="6">
        <v>202.49</v>
      </c>
      <c r="N292" s="13">
        <f t="shared" si="20"/>
        <v>202.49</v>
      </c>
      <c r="O292" s="6">
        <v>5</v>
      </c>
      <c r="P292" s="6">
        <f t="shared" si="21"/>
        <v>10.124500000000001</v>
      </c>
      <c r="Q292" s="6">
        <f t="shared" si="22"/>
        <v>192.3655</v>
      </c>
      <c r="R292" s="6" t="str">
        <f t="shared" si="23"/>
        <v>Low Sale</v>
      </c>
      <c r="S292" s="6" t="str" cm="1">
        <f t="array" ref="S292">_xlfn.IFS(L292&gt;5,"High",L292=5,"Medium",L292&lt;5,"Low")</f>
        <v>Low</v>
      </c>
      <c r="T292" s="6" t="str">
        <f t="shared" si="24"/>
        <v>Low</v>
      </c>
    </row>
    <row r="293" spans="1:20" x14ac:dyDescent="0.25">
      <c r="A293" s="6">
        <v>10360</v>
      </c>
      <c r="B293" s="6">
        <v>1610</v>
      </c>
      <c r="C293" s="11">
        <v>45123</v>
      </c>
      <c r="D293" s="11">
        <v>45124</v>
      </c>
      <c r="E293" s="6" t="s">
        <v>97</v>
      </c>
      <c r="F293" s="6" t="s">
        <v>104</v>
      </c>
      <c r="G293" s="6" t="s">
        <v>93</v>
      </c>
      <c r="H293" s="6" t="s">
        <v>105</v>
      </c>
      <c r="I293" s="6" t="s">
        <v>94</v>
      </c>
      <c r="J293" s="6" t="s">
        <v>95</v>
      </c>
      <c r="K293" s="6" t="s">
        <v>108</v>
      </c>
      <c r="L293" s="6">
        <v>8</v>
      </c>
      <c r="M293" s="6">
        <v>1392.5</v>
      </c>
      <c r="N293" s="13">
        <f t="shared" si="20"/>
        <v>11140</v>
      </c>
      <c r="O293" s="6">
        <v>15</v>
      </c>
      <c r="P293" s="6">
        <f t="shared" si="21"/>
        <v>1671</v>
      </c>
      <c r="Q293" s="6">
        <f t="shared" si="22"/>
        <v>9469</v>
      </c>
      <c r="R293" s="6" t="str">
        <f t="shared" si="23"/>
        <v>High Sale</v>
      </c>
      <c r="S293" s="6" t="str" cm="1">
        <f t="array" ref="S293">_xlfn.IFS(L293&gt;5,"High",L293=5,"Medium",L293&lt;5,"Low")</f>
        <v>High</v>
      </c>
      <c r="T293" s="6" t="str">
        <f t="shared" si="24"/>
        <v>High</v>
      </c>
    </row>
    <row r="294" spans="1:20" x14ac:dyDescent="0.25">
      <c r="A294" s="6">
        <v>10361</v>
      </c>
      <c r="B294" s="6">
        <v>1262</v>
      </c>
      <c r="C294" s="11">
        <v>45233</v>
      </c>
      <c r="D294" s="11">
        <v>45234</v>
      </c>
      <c r="E294" s="6" t="s">
        <v>97</v>
      </c>
      <c r="F294" s="6" t="s">
        <v>86</v>
      </c>
      <c r="G294" s="6" t="s">
        <v>87</v>
      </c>
      <c r="H294" s="6" t="s">
        <v>107</v>
      </c>
      <c r="I294" s="6" t="s">
        <v>120</v>
      </c>
      <c r="J294" s="6" t="s">
        <v>122</v>
      </c>
      <c r="K294" s="6" t="s">
        <v>84</v>
      </c>
      <c r="L294" s="6">
        <v>3</v>
      </c>
      <c r="M294" s="6">
        <v>2284.27</v>
      </c>
      <c r="N294" s="13">
        <f t="shared" si="20"/>
        <v>6852.8099999999995</v>
      </c>
      <c r="O294" s="6">
        <v>20</v>
      </c>
      <c r="P294" s="6">
        <f t="shared" si="21"/>
        <v>1370.5619999999999</v>
      </c>
      <c r="Q294" s="6">
        <f t="shared" si="22"/>
        <v>5482.2479999999996</v>
      </c>
      <c r="R294" s="6" t="str">
        <f t="shared" si="23"/>
        <v>Low Sale</v>
      </c>
      <c r="S294" s="6" t="str" cm="1">
        <f t="array" ref="S294">_xlfn.IFS(L294&gt;5,"High",L294=5,"Medium",L294&lt;5,"Low")</f>
        <v>Low</v>
      </c>
      <c r="T294" s="6" t="str">
        <f t="shared" si="24"/>
        <v>Low</v>
      </c>
    </row>
    <row r="295" spans="1:20" x14ac:dyDescent="0.25">
      <c r="A295" s="6">
        <v>10365</v>
      </c>
      <c r="B295" s="6">
        <v>1623</v>
      </c>
      <c r="C295" s="11">
        <v>44934</v>
      </c>
      <c r="D295" s="11">
        <v>44940</v>
      </c>
      <c r="E295" s="6" t="s">
        <v>79</v>
      </c>
      <c r="F295" s="6" t="s">
        <v>104</v>
      </c>
      <c r="G295" s="6" t="s">
        <v>80</v>
      </c>
      <c r="H295" s="6" t="s">
        <v>98</v>
      </c>
      <c r="I295" s="6" t="s">
        <v>115</v>
      </c>
      <c r="J295" s="6" t="s">
        <v>116</v>
      </c>
      <c r="K295" s="6" t="s">
        <v>96</v>
      </c>
      <c r="L295" s="6">
        <v>5</v>
      </c>
      <c r="M295" s="6">
        <v>3593.46</v>
      </c>
      <c r="N295" s="13">
        <f t="shared" si="20"/>
        <v>17967.3</v>
      </c>
      <c r="O295" s="6">
        <v>20</v>
      </c>
      <c r="P295" s="6">
        <f t="shared" si="21"/>
        <v>3593.46</v>
      </c>
      <c r="Q295" s="6">
        <f t="shared" si="22"/>
        <v>14373.84</v>
      </c>
      <c r="R295" s="6" t="str">
        <f t="shared" si="23"/>
        <v>High Sale</v>
      </c>
      <c r="S295" s="6" t="str" cm="1">
        <f t="array" ref="S295">_xlfn.IFS(L295&gt;5,"High",L295=5,"Medium",L295&lt;5,"Low")</f>
        <v>Medium</v>
      </c>
      <c r="T295" s="6" t="str">
        <f t="shared" si="24"/>
        <v>Medium</v>
      </c>
    </row>
    <row r="296" spans="1:20" x14ac:dyDescent="0.25">
      <c r="A296" s="6">
        <v>10366</v>
      </c>
      <c r="B296" s="6">
        <v>1571</v>
      </c>
      <c r="C296" s="11">
        <v>45223</v>
      </c>
      <c r="D296" s="11">
        <v>45226</v>
      </c>
      <c r="E296" s="6" t="s">
        <v>78</v>
      </c>
      <c r="F296" s="6" t="s">
        <v>79</v>
      </c>
      <c r="G296" s="6" t="s">
        <v>87</v>
      </c>
      <c r="H296" s="6" t="s">
        <v>105</v>
      </c>
      <c r="I296" s="6" t="s">
        <v>112</v>
      </c>
      <c r="J296" s="6" t="s">
        <v>126</v>
      </c>
      <c r="K296" s="6" t="s">
        <v>84</v>
      </c>
      <c r="L296" s="6">
        <v>5</v>
      </c>
      <c r="M296" s="6">
        <v>3320.88</v>
      </c>
      <c r="N296" s="13">
        <f t="shared" si="20"/>
        <v>16604.400000000001</v>
      </c>
      <c r="O296" s="6">
        <v>0</v>
      </c>
      <c r="P296" s="6">
        <f t="shared" si="21"/>
        <v>0</v>
      </c>
      <c r="Q296" s="6">
        <f t="shared" si="22"/>
        <v>16604.400000000001</v>
      </c>
      <c r="R296" s="6" t="str">
        <f t="shared" si="23"/>
        <v>High Sale</v>
      </c>
      <c r="S296" s="6" t="str" cm="1">
        <f t="array" ref="S296">_xlfn.IFS(L296&gt;5,"High",L296=5,"Medium",L296&lt;5,"Low")</f>
        <v>Medium</v>
      </c>
      <c r="T296" s="6" t="str">
        <f t="shared" si="24"/>
        <v>Medium</v>
      </c>
    </row>
    <row r="297" spans="1:20" x14ac:dyDescent="0.25">
      <c r="A297" s="6">
        <v>10367</v>
      </c>
      <c r="B297" s="6">
        <v>1880</v>
      </c>
      <c r="C297" s="11">
        <v>45090</v>
      </c>
      <c r="D297" s="11">
        <v>45095</v>
      </c>
      <c r="E297" s="6" t="s">
        <v>109</v>
      </c>
      <c r="F297" s="6" t="s">
        <v>104</v>
      </c>
      <c r="G297" s="6" t="s">
        <v>93</v>
      </c>
      <c r="H297" s="6" t="s">
        <v>98</v>
      </c>
      <c r="I297" s="6" t="s">
        <v>120</v>
      </c>
      <c r="J297" s="6" t="s">
        <v>125</v>
      </c>
      <c r="K297" s="6" t="s">
        <v>108</v>
      </c>
      <c r="L297" s="6">
        <v>8</v>
      </c>
      <c r="M297" s="6">
        <v>3610.33</v>
      </c>
      <c r="N297" s="13">
        <f t="shared" si="20"/>
        <v>28882.639999999999</v>
      </c>
      <c r="O297" s="6">
        <v>5</v>
      </c>
      <c r="P297" s="6">
        <f t="shared" si="21"/>
        <v>1444.1320000000001</v>
      </c>
      <c r="Q297" s="6">
        <f t="shared" si="22"/>
        <v>27438.507999999998</v>
      </c>
      <c r="R297" s="6" t="str">
        <f t="shared" si="23"/>
        <v>High Sale</v>
      </c>
      <c r="S297" s="6" t="str" cm="1">
        <f t="array" ref="S297">_xlfn.IFS(L297&gt;5,"High",L297=5,"Medium",L297&lt;5,"Low")</f>
        <v>High</v>
      </c>
      <c r="T297" s="6" t="str">
        <f t="shared" si="24"/>
        <v>High</v>
      </c>
    </row>
    <row r="298" spans="1:20" x14ac:dyDescent="0.25">
      <c r="A298" s="6">
        <v>10369</v>
      </c>
      <c r="B298" s="6">
        <v>1896</v>
      </c>
      <c r="C298" s="11">
        <v>44998</v>
      </c>
      <c r="D298" s="11">
        <v>45000</v>
      </c>
      <c r="E298" s="6" t="s">
        <v>85</v>
      </c>
      <c r="F298" s="6" t="s">
        <v>86</v>
      </c>
      <c r="G298" s="6" t="s">
        <v>80</v>
      </c>
      <c r="H298" s="6" t="s">
        <v>98</v>
      </c>
      <c r="I298" s="6" t="s">
        <v>89</v>
      </c>
      <c r="J298" s="6" t="s">
        <v>99</v>
      </c>
      <c r="K298" s="6" t="s">
        <v>110</v>
      </c>
      <c r="L298" s="6">
        <v>8</v>
      </c>
      <c r="M298" s="6">
        <v>3277.19</v>
      </c>
      <c r="N298" s="13">
        <f t="shared" si="20"/>
        <v>26217.52</v>
      </c>
      <c r="O298" s="6">
        <v>15</v>
      </c>
      <c r="P298" s="6">
        <f t="shared" si="21"/>
        <v>3932.6279999999997</v>
      </c>
      <c r="Q298" s="6">
        <f t="shared" si="22"/>
        <v>22284.892</v>
      </c>
      <c r="R298" s="6" t="str">
        <f t="shared" si="23"/>
        <v>High Sale</v>
      </c>
      <c r="S298" s="6" t="str" cm="1">
        <f t="array" ref="S298">_xlfn.IFS(L298&gt;5,"High",L298=5,"Medium",L298&lt;5,"Low")</f>
        <v>High</v>
      </c>
      <c r="T298" s="6" t="str">
        <f t="shared" si="24"/>
        <v>High</v>
      </c>
    </row>
    <row r="299" spans="1:20" x14ac:dyDescent="0.25">
      <c r="A299" s="6">
        <v>10370</v>
      </c>
      <c r="B299" s="6">
        <v>1303</v>
      </c>
      <c r="C299" s="11">
        <v>44981</v>
      </c>
      <c r="D299" s="11">
        <v>44987</v>
      </c>
      <c r="E299" s="6" t="s">
        <v>85</v>
      </c>
      <c r="F299" s="6" t="s">
        <v>104</v>
      </c>
      <c r="G299" s="6" t="s">
        <v>93</v>
      </c>
      <c r="H299" s="6" t="s">
        <v>81</v>
      </c>
      <c r="I299" s="6" t="s">
        <v>112</v>
      </c>
      <c r="J299" s="6" t="s">
        <v>126</v>
      </c>
      <c r="K299" s="6" t="s">
        <v>91</v>
      </c>
      <c r="L299" s="6">
        <v>6</v>
      </c>
      <c r="M299" s="6">
        <v>1628.56</v>
      </c>
      <c r="N299" s="13">
        <f t="shared" si="20"/>
        <v>9771.36</v>
      </c>
      <c r="O299" s="6">
        <v>0</v>
      </c>
      <c r="P299" s="6">
        <f t="shared" si="21"/>
        <v>0</v>
      </c>
      <c r="Q299" s="6">
        <f t="shared" si="22"/>
        <v>9771.36</v>
      </c>
      <c r="R299" s="6" t="str">
        <f t="shared" si="23"/>
        <v>High Sale</v>
      </c>
      <c r="S299" s="6" t="str" cm="1">
        <f t="array" ref="S299">_xlfn.IFS(L299&gt;5,"High",L299=5,"Medium",L299&lt;5,"Low")</f>
        <v>High</v>
      </c>
      <c r="T299" s="6" t="str">
        <f t="shared" si="24"/>
        <v>High</v>
      </c>
    </row>
    <row r="300" spans="1:20" x14ac:dyDescent="0.25">
      <c r="A300" s="6">
        <v>10371</v>
      </c>
      <c r="B300" s="6">
        <v>1253</v>
      </c>
      <c r="C300" s="11">
        <v>44973</v>
      </c>
      <c r="D300" s="11">
        <v>44979</v>
      </c>
      <c r="E300" s="6" t="s">
        <v>97</v>
      </c>
      <c r="F300" s="6" t="s">
        <v>104</v>
      </c>
      <c r="G300" s="6" t="s">
        <v>80</v>
      </c>
      <c r="H300" s="6" t="s">
        <v>81</v>
      </c>
      <c r="I300" s="6" t="s">
        <v>112</v>
      </c>
      <c r="J300" s="6" t="s">
        <v>130</v>
      </c>
      <c r="K300" s="6" t="s">
        <v>110</v>
      </c>
      <c r="L300" s="6">
        <v>6</v>
      </c>
      <c r="M300" s="6">
        <v>2715.13</v>
      </c>
      <c r="N300" s="13">
        <f t="shared" si="20"/>
        <v>16290.78</v>
      </c>
      <c r="O300" s="6">
        <v>20</v>
      </c>
      <c r="P300" s="6">
        <f t="shared" si="21"/>
        <v>3258.1560000000004</v>
      </c>
      <c r="Q300" s="6">
        <f t="shared" si="22"/>
        <v>13032.624</v>
      </c>
      <c r="R300" s="6" t="str">
        <f t="shared" si="23"/>
        <v>High Sale</v>
      </c>
      <c r="S300" s="6" t="str" cm="1">
        <f t="array" ref="S300">_xlfn.IFS(L300&gt;5,"High",L300=5,"Medium",L300&lt;5,"Low")</f>
        <v>High</v>
      </c>
      <c r="T300" s="6" t="str">
        <f t="shared" si="24"/>
        <v>High</v>
      </c>
    </row>
    <row r="301" spans="1:20" x14ac:dyDescent="0.25">
      <c r="A301" s="6">
        <v>10372</v>
      </c>
      <c r="B301" s="6">
        <v>1651</v>
      </c>
      <c r="C301" s="11">
        <v>45164</v>
      </c>
      <c r="D301" s="11">
        <v>45167</v>
      </c>
      <c r="E301" s="6" t="s">
        <v>79</v>
      </c>
      <c r="F301" s="6" t="s">
        <v>86</v>
      </c>
      <c r="G301" s="6" t="s">
        <v>87</v>
      </c>
      <c r="H301" s="6" t="s">
        <v>98</v>
      </c>
      <c r="I301" s="6" t="s">
        <v>112</v>
      </c>
      <c r="J301" s="6" t="s">
        <v>126</v>
      </c>
      <c r="K301" s="6" t="s">
        <v>84</v>
      </c>
      <c r="L301" s="6">
        <v>2</v>
      </c>
      <c r="M301" s="6">
        <v>3957.02</v>
      </c>
      <c r="N301" s="13">
        <f t="shared" si="20"/>
        <v>7914.04</v>
      </c>
      <c r="O301" s="6">
        <v>5</v>
      </c>
      <c r="P301" s="6">
        <f t="shared" si="21"/>
        <v>395.702</v>
      </c>
      <c r="Q301" s="6">
        <f t="shared" si="22"/>
        <v>7518.3379999999997</v>
      </c>
      <c r="R301" s="6" t="str">
        <f t="shared" si="23"/>
        <v>Low Sale</v>
      </c>
      <c r="S301" s="6" t="str" cm="1">
        <f t="array" ref="S301">_xlfn.IFS(L301&gt;5,"High",L301=5,"Medium",L301&lt;5,"Low")</f>
        <v>Low</v>
      </c>
      <c r="T301" s="6" t="str">
        <f t="shared" si="24"/>
        <v>Low</v>
      </c>
    </row>
    <row r="302" spans="1:20" x14ac:dyDescent="0.25">
      <c r="A302" s="6">
        <v>10373</v>
      </c>
      <c r="B302" s="6">
        <v>1452</v>
      </c>
      <c r="C302" s="11">
        <v>45030</v>
      </c>
      <c r="D302" s="11">
        <v>45036</v>
      </c>
      <c r="E302" s="6" t="s">
        <v>85</v>
      </c>
      <c r="F302" s="6" t="s">
        <v>79</v>
      </c>
      <c r="G302" s="6" t="s">
        <v>87</v>
      </c>
      <c r="H302" s="6" t="s">
        <v>81</v>
      </c>
      <c r="I302" s="6" t="s">
        <v>115</v>
      </c>
      <c r="J302" s="6" t="s">
        <v>116</v>
      </c>
      <c r="K302" s="6" t="s">
        <v>84</v>
      </c>
      <c r="L302" s="6">
        <v>6</v>
      </c>
      <c r="M302" s="6">
        <v>1019.05</v>
      </c>
      <c r="N302" s="13">
        <f t="shared" si="20"/>
        <v>6114.2999999999993</v>
      </c>
      <c r="O302" s="6">
        <v>0</v>
      </c>
      <c r="P302" s="6">
        <f t="shared" si="21"/>
        <v>0</v>
      </c>
      <c r="Q302" s="6">
        <f t="shared" si="22"/>
        <v>6114.2999999999993</v>
      </c>
      <c r="R302" s="6" t="str">
        <f t="shared" si="23"/>
        <v>High Sale</v>
      </c>
      <c r="S302" s="6" t="str" cm="1">
        <f t="array" ref="S302">_xlfn.IFS(L302&gt;5,"High",L302=5,"Medium",L302&lt;5,"Low")</f>
        <v>High</v>
      </c>
      <c r="T302" s="6" t="str">
        <f t="shared" si="24"/>
        <v>High</v>
      </c>
    </row>
    <row r="303" spans="1:20" x14ac:dyDescent="0.25">
      <c r="A303" s="6">
        <v>10374</v>
      </c>
      <c r="B303" s="6">
        <v>1036</v>
      </c>
      <c r="C303" s="11">
        <v>45136</v>
      </c>
      <c r="D303" s="11">
        <v>45141</v>
      </c>
      <c r="E303" s="6" t="s">
        <v>100</v>
      </c>
      <c r="F303" s="6" t="s">
        <v>79</v>
      </c>
      <c r="G303" s="6" t="s">
        <v>80</v>
      </c>
      <c r="H303" s="6" t="s">
        <v>105</v>
      </c>
      <c r="I303" s="6" t="s">
        <v>120</v>
      </c>
      <c r="J303" s="6" t="s">
        <v>121</v>
      </c>
      <c r="K303" s="6" t="s">
        <v>96</v>
      </c>
      <c r="L303" s="6">
        <v>5</v>
      </c>
      <c r="M303" s="6">
        <v>1651.11</v>
      </c>
      <c r="N303" s="13">
        <f t="shared" si="20"/>
        <v>8255.5499999999993</v>
      </c>
      <c r="O303" s="6">
        <v>20</v>
      </c>
      <c r="P303" s="6">
        <f t="shared" si="21"/>
        <v>1651.11</v>
      </c>
      <c r="Q303" s="6">
        <f t="shared" si="22"/>
        <v>6604.44</v>
      </c>
      <c r="R303" s="6" t="str">
        <f t="shared" si="23"/>
        <v>High Sale</v>
      </c>
      <c r="S303" s="6" t="str" cm="1">
        <f t="array" ref="S303">_xlfn.IFS(L303&gt;5,"High",L303=5,"Medium",L303&lt;5,"Low")</f>
        <v>Medium</v>
      </c>
      <c r="T303" s="6" t="str">
        <f t="shared" si="24"/>
        <v>Medium</v>
      </c>
    </row>
    <row r="304" spans="1:20" x14ac:dyDescent="0.25">
      <c r="A304" s="6">
        <v>10376</v>
      </c>
      <c r="B304" s="6">
        <v>1008</v>
      </c>
      <c r="C304" s="11">
        <v>45242</v>
      </c>
      <c r="D304" s="11">
        <v>45251</v>
      </c>
      <c r="E304" s="6" t="s">
        <v>100</v>
      </c>
      <c r="F304" s="6" t="s">
        <v>117</v>
      </c>
      <c r="G304" s="6" t="s">
        <v>93</v>
      </c>
      <c r="H304" s="6" t="s">
        <v>81</v>
      </c>
      <c r="I304" s="6" t="s">
        <v>120</v>
      </c>
      <c r="J304" s="6" t="s">
        <v>122</v>
      </c>
      <c r="K304" s="6" t="s">
        <v>108</v>
      </c>
      <c r="L304" s="6">
        <v>6</v>
      </c>
      <c r="M304" s="6">
        <v>681.36</v>
      </c>
      <c r="N304" s="13">
        <f t="shared" si="20"/>
        <v>4088.16</v>
      </c>
      <c r="O304" s="6">
        <v>15</v>
      </c>
      <c r="P304" s="6">
        <f t="shared" si="21"/>
        <v>613.22399999999993</v>
      </c>
      <c r="Q304" s="6">
        <f t="shared" si="22"/>
        <v>3474.9359999999997</v>
      </c>
      <c r="R304" s="6" t="str">
        <f t="shared" si="23"/>
        <v>High Sale</v>
      </c>
      <c r="S304" s="6" t="str" cm="1">
        <f t="array" ref="S304">_xlfn.IFS(L304&gt;5,"High",L304=5,"Medium",L304&lt;5,"Low")</f>
        <v>High</v>
      </c>
      <c r="T304" s="6" t="str">
        <f t="shared" si="24"/>
        <v>High</v>
      </c>
    </row>
    <row r="305" spans="1:20" x14ac:dyDescent="0.25">
      <c r="A305" s="6">
        <v>10379</v>
      </c>
      <c r="B305" s="6">
        <v>1658</v>
      </c>
      <c r="C305" s="11">
        <v>45262</v>
      </c>
      <c r="D305" s="11">
        <v>45270</v>
      </c>
      <c r="E305" s="6" t="s">
        <v>78</v>
      </c>
      <c r="F305" s="6" t="s">
        <v>79</v>
      </c>
      <c r="G305" s="6" t="s">
        <v>87</v>
      </c>
      <c r="H305" s="6" t="s">
        <v>98</v>
      </c>
      <c r="I305" s="6" t="s">
        <v>89</v>
      </c>
      <c r="J305" s="6" t="s">
        <v>131</v>
      </c>
      <c r="K305" s="6" t="s">
        <v>108</v>
      </c>
      <c r="L305" s="6">
        <v>1</v>
      </c>
      <c r="M305" s="6">
        <v>3910.66</v>
      </c>
      <c r="N305" s="13">
        <f t="shared" si="20"/>
        <v>3910.66</v>
      </c>
      <c r="O305" s="6">
        <v>5</v>
      </c>
      <c r="P305" s="6">
        <f t="shared" si="21"/>
        <v>195.53300000000002</v>
      </c>
      <c r="Q305" s="6">
        <f t="shared" si="22"/>
        <v>3715.127</v>
      </c>
      <c r="R305" s="6" t="str">
        <f t="shared" si="23"/>
        <v>Low Sale</v>
      </c>
      <c r="S305" s="6" t="str" cm="1">
        <f t="array" ref="S305">_xlfn.IFS(L305&gt;5,"High",L305=5,"Medium",L305&lt;5,"Low")</f>
        <v>Low</v>
      </c>
      <c r="T305" s="6" t="str">
        <f t="shared" si="24"/>
        <v>Low</v>
      </c>
    </row>
    <row r="306" spans="1:20" x14ac:dyDescent="0.25">
      <c r="A306" s="6">
        <v>10381</v>
      </c>
      <c r="B306" s="6">
        <v>1207</v>
      </c>
      <c r="C306" s="11">
        <v>45185</v>
      </c>
      <c r="D306" s="11">
        <v>45188</v>
      </c>
      <c r="E306" s="6" t="s">
        <v>79</v>
      </c>
      <c r="F306" s="6" t="s">
        <v>86</v>
      </c>
      <c r="G306" s="6" t="s">
        <v>87</v>
      </c>
      <c r="H306" s="6" t="s">
        <v>107</v>
      </c>
      <c r="I306" s="6" t="s">
        <v>115</v>
      </c>
      <c r="J306" s="6" t="s">
        <v>119</v>
      </c>
      <c r="K306" s="6" t="s">
        <v>110</v>
      </c>
      <c r="L306" s="6">
        <v>3</v>
      </c>
      <c r="M306" s="6">
        <v>487.45</v>
      </c>
      <c r="N306" s="13">
        <f t="shared" si="20"/>
        <v>1462.35</v>
      </c>
      <c r="O306" s="6">
        <v>5</v>
      </c>
      <c r="P306" s="6">
        <f t="shared" si="21"/>
        <v>73.117499999999993</v>
      </c>
      <c r="Q306" s="6">
        <f t="shared" si="22"/>
        <v>1389.2324999999998</v>
      </c>
      <c r="R306" s="6" t="str">
        <f t="shared" si="23"/>
        <v>Low Sale</v>
      </c>
      <c r="S306" s="6" t="str" cm="1">
        <f t="array" ref="S306">_xlfn.IFS(L306&gt;5,"High",L306=5,"Medium",L306&lt;5,"Low")</f>
        <v>Low</v>
      </c>
      <c r="T306" s="6" t="str">
        <f t="shared" si="24"/>
        <v>Low</v>
      </c>
    </row>
    <row r="307" spans="1:20" x14ac:dyDescent="0.25">
      <c r="A307" s="6">
        <v>10383</v>
      </c>
      <c r="B307" s="6">
        <v>1403</v>
      </c>
      <c r="C307" s="11">
        <v>45040</v>
      </c>
      <c r="D307" s="11">
        <v>45042</v>
      </c>
      <c r="E307" s="6" t="s">
        <v>100</v>
      </c>
      <c r="F307" s="6" t="s">
        <v>86</v>
      </c>
      <c r="G307" s="6" t="s">
        <v>87</v>
      </c>
      <c r="H307" s="6" t="s">
        <v>105</v>
      </c>
      <c r="I307" s="6" t="s">
        <v>94</v>
      </c>
      <c r="J307" s="6" t="s">
        <v>111</v>
      </c>
      <c r="K307" s="6" t="s">
        <v>96</v>
      </c>
      <c r="L307" s="6">
        <v>1</v>
      </c>
      <c r="M307" s="6">
        <v>3581.58</v>
      </c>
      <c r="N307" s="13">
        <f t="shared" si="20"/>
        <v>3581.58</v>
      </c>
      <c r="O307" s="6">
        <v>15</v>
      </c>
      <c r="P307" s="6">
        <f t="shared" si="21"/>
        <v>537.23699999999997</v>
      </c>
      <c r="Q307" s="6">
        <f t="shared" si="22"/>
        <v>3044.3429999999998</v>
      </c>
      <c r="R307" s="6" t="str">
        <f t="shared" si="23"/>
        <v>Low Sale</v>
      </c>
      <c r="S307" s="6" t="str" cm="1">
        <f t="array" ref="S307">_xlfn.IFS(L307&gt;5,"High",L307=5,"Medium",L307&lt;5,"Low")</f>
        <v>Low</v>
      </c>
      <c r="T307" s="6" t="str">
        <f t="shared" si="24"/>
        <v>Low</v>
      </c>
    </row>
    <row r="308" spans="1:20" x14ac:dyDescent="0.25">
      <c r="A308" s="6">
        <v>10384</v>
      </c>
      <c r="B308" s="6">
        <v>1151</v>
      </c>
      <c r="C308" s="11">
        <v>45289</v>
      </c>
      <c r="D308" s="11">
        <v>45297</v>
      </c>
      <c r="E308" s="6" t="s">
        <v>85</v>
      </c>
      <c r="F308" s="6" t="s">
        <v>79</v>
      </c>
      <c r="G308" s="6" t="s">
        <v>87</v>
      </c>
      <c r="H308" s="6" t="s">
        <v>105</v>
      </c>
      <c r="I308" s="6" t="s">
        <v>82</v>
      </c>
      <c r="J308" s="6" t="s">
        <v>118</v>
      </c>
      <c r="K308" s="6" t="s">
        <v>91</v>
      </c>
      <c r="L308" s="6">
        <v>5</v>
      </c>
      <c r="M308" s="6">
        <v>1935.68</v>
      </c>
      <c r="N308" s="13">
        <f t="shared" si="20"/>
        <v>9678.4</v>
      </c>
      <c r="O308" s="6">
        <v>20</v>
      </c>
      <c r="P308" s="6">
        <f t="shared" si="21"/>
        <v>1935.68</v>
      </c>
      <c r="Q308" s="6">
        <f t="shared" si="22"/>
        <v>7742.7199999999993</v>
      </c>
      <c r="R308" s="6" t="str">
        <f t="shared" si="23"/>
        <v>High Sale</v>
      </c>
      <c r="S308" s="6" t="str" cm="1">
        <f t="array" ref="S308">_xlfn.IFS(L308&gt;5,"High",L308=5,"Medium",L308&lt;5,"Low")</f>
        <v>Medium</v>
      </c>
      <c r="T308" s="6" t="str">
        <f t="shared" si="24"/>
        <v>Medium</v>
      </c>
    </row>
    <row r="309" spans="1:20" x14ac:dyDescent="0.25">
      <c r="A309" s="6">
        <v>10385</v>
      </c>
      <c r="B309" s="6">
        <v>1053</v>
      </c>
      <c r="C309" s="11">
        <v>44966</v>
      </c>
      <c r="D309" s="11">
        <v>44967</v>
      </c>
      <c r="E309" s="6" t="s">
        <v>79</v>
      </c>
      <c r="F309" s="6" t="s">
        <v>86</v>
      </c>
      <c r="G309" s="6" t="s">
        <v>87</v>
      </c>
      <c r="H309" s="6" t="s">
        <v>105</v>
      </c>
      <c r="I309" s="6" t="s">
        <v>115</v>
      </c>
      <c r="J309" s="6" t="s">
        <v>127</v>
      </c>
      <c r="K309" s="6" t="s">
        <v>96</v>
      </c>
      <c r="L309" s="6">
        <v>3</v>
      </c>
      <c r="M309" s="6">
        <v>1382.11</v>
      </c>
      <c r="N309" s="13">
        <f t="shared" si="20"/>
        <v>4146.33</v>
      </c>
      <c r="O309" s="6">
        <v>10</v>
      </c>
      <c r="P309" s="6">
        <f t="shared" si="21"/>
        <v>414.63300000000004</v>
      </c>
      <c r="Q309" s="6">
        <f t="shared" si="22"/>
        <v>3731.6970000000001</v>
      </c>
      <c r="R309" s="6" t="str">
        <f t="shared" si="23"/>
        <v>Low Sale</v>
      </c>
      <c r="S309" s="6" t="str" cm="1">
        <f t="array" ref="S309">_xlfn.IFS(L309&gt;5,"High",L309=5,"Medium",L309&lt;5,"Low")</f>
        <v>Low</v>
      </c>
      <c r="T309" s="6" t="str">
        <f t="shared" si="24"/>
        <v>Low</v>
      </c>
    </row>
    <row r="310" spans="1:20" x14ac:dyDescent="0.25">
      <c r="A310" s="6">
        <v>10386</v>
      </c>
      <c r="B310" s="6">
        <v>1119</v>
      </c>
      <c r="C310" s="11">
        <v>45146</v>
      </c>
      <c r="D310" s="11">
        <v>45154</v>
      </c>
      <c r="E310" s="6" t="s">
        <v>78</v>
      </c>
      <c r="F310" s="6" t="s">
        <v>86</v>
      </c>
      <c r="G310" s="6" t="s">
        <v>87</v>
      </c>
      <c r="H310" s="6" t="s">
        <v>107</v>
      </c>
      <c r="I310" s="6" t="s">
        <v>112</v>
      </c>
      <c r="J310" s="6" t="s">
        <v>130</v>
      </c>
      <c r="K310" s="6" t="s">
        <v>91</v>
      </c>
      <c r="L310" s="6">
        <v>2</v>
      </c>
      <c r="M310" s="6">
        <v>1984.38</v>
      </c>
      <c r="N310" s="13">
        <f t="shared" si="20"/>
        <v>3968.76</v>
      </c>
      <c r="O310" s="6">
        <v>10</v>
      </c>
      <c r="P310" s="6">
        <f t="shared" si="21"/>
        <v>396.87600000000003</v>
      </c>
      <c r="Q310" s="6">
        <f t="shared" si="22"/>
        <v>3571.884</v>
      </c>
      <c r="R310" s="6" t="str">
        <f t="shared" si="23"/>
        <v>Low Sale</v>
      </c>
      <c r="S310" s="6" t="str" cm="1">
        <f t="array" ref="S310">_xlfn.IFS(L310&gt;5,"High",L310=5,"Medium",L310&lt;5,"Low")</f>
        <v>Low</v>
      </c>
      <c r="T310" s="6" t="str">
        <f t="shared" si="24"/>
        <v>Low</v>
      </c>
    </row>
    <row r="311" spans="1:20" x14ac:dyDescent="0.25">
      <c r="A311" s="6">
        <v>10387</v>
      </c>
      <c r="B311" s="6">
        <v>1672</v>
      </c>
      <c r="C311" s="11">
        <v>45055</v>
      </c>
      <c r="D311" s="11">
        <v>45062</v>
      </c>
      <c r="E311" s="6" t="s">
        <v>109</v>
      </c>
      <c r="F311" s="6" t="s">
        <v>92</v>
      </c>
      <c r="G311" s="6" t="s">
        <v>87</v>
      </c>
      <c r="H311" s="6" t="s">
        <v>105</v>
      </c>
      <c r="I311" s="6" t="s">
        <v>94</v>
      </c>
      <c r="J311" s="6" t="s">
        <v>95</v>
      </c>
      <c r="K311" s="6" t="s">
        <v>96</v>
      </c>
      <c r="L311" s="6">
        <v>8</v>
      </c>
      <c r="M311" s="6">
        <v>1375.47</v>
      </c>
      <c r="N311" s="13">
        <f t="shared" si="20"/>
        <v>11003.76</v>
      </c>
      <c r="O311" s="6">
        <v>15</v>
      </c>
      <c r="P311" s="6">
        <f t="shared" si="21"/>
        <v>1650.5640000000001</v>
      </c>
      <c r="Q311" s="6">
        <f t="shared" si="22"/>
        <v>9353.1959999999999</v>
      </c>
      <c r="R311" s="6" t="str">
        <f t="shared" si="23"/>
        <v>High Sale</v>
      </c>
      <c r="S311" s="6" t="str" cm="1">
        <f t="array" ref="S311">_xlfn.IFS(L311&gt;5,"High",L311=5,"Medium",L311&lt;5,"Low")</f>
        <v>High</v>
      </c>
      <c r="T311" s="6" t="str">
        <f t="shared" si="24"/>
        <v>High</v>
      </c>
    </row>
    <row r="312" spans="1:20" x14ac:dyDescent="0.25">
      <c r="A312" s="6">
        <v>10388</v>
      </c>
      <c r="B312" s="6">
        <v>1919</v>
      </c>
      <c r="C312" s="11">
        <v>44934</v>
      </c>
      <c r="D312" s="11">
        <v>44941</v>
      </c>
      <c r="E312" s="6" t="s">
        <v>85</v>
      </c>
      <c r="F312" s="6" t="s">
        <v>117</v>
      </c>
      <c r="G312" s="6" t="s">
        <v>93</v>
      </c>
      <c r="H312" s="6" t="s">
        <v>81</v>
      </c>
      <c r="I312" s="6" t="s">
        <v>94</v>
      </c>
      <c r="J312" s="6" t="s">
        <v>102</v>
      </c>
      <c r="K312" s="6" t="s">
        <v>96</v>
      </c>
      <c r="L312" s="6">
        <v>3</v>
      </c>
      <c r="M312" s="6">
        <v>2032.79</v>
      </c>
      <c r="N312" s="13">
        <f t="shared" si="20"/>
        <v>6098.37</v>
      </c>
      <c r="O312" s="6">
        <v>10</v>
      </c>
      <c r="P312" s="6">
        <f t="shared" si="21"/>
        <v>609.83699999999999</v>
      </c>
      <c r="Q312" s="6">
        <f t="shared" si="22"/>
        <v>5488.5329999999994</v>
      </c>
      <c r="R312" s="6" t="str">
        <f t="shared" si="23"/>
        <v>Low Sale</v>
      </c>
      <c r="S312" s="6" t="str" cm="1">
        <f t="array" ref="S312">_xlfn.IFS(L312&gt;5,"High",L312=5,"Medium",L312&lt;5,"Low")</f>
        <v>Low</v>
      </c>
      <c r="T312" s="6" t="str">
        <f t="shared" si="24"/>
        <v>Low</v>
      </c>
    </row>
    <row r="313" spans="1:20" x14ac:dyDescent="0.25">
      <c r="A313" s="6">
        <v>10390</v>
      </c>
      <c r="B313" s="6">
        <v>1586</v>
      </c>
      <c r="C313" s="11">
        <v>45102</v>
      </c>
      <c r="D313" s="11">
        <v>45103</v>
      </c>
      <c r="E313" s="6" t="s">
        <v>103</v>
      </c>
      <c r="F313" s="6" t="s">
        <v>117</v>
      </c>
      <c r="G313" s="6" t="s">
        <v>87</v>
      </c>
      <c r="H313" s="6" t="s">
        <v>98</v>
      </c>
      <c r="I313" s="6" t="s">
        <v>94</v>
      </c>
      <c r="J313" s="6" t="s">
        <v>111</v>
      </c>
      <c r="K313" s="6" t="s">
        <v>110</v>
      </c>
      <c r="L313" s="6">
        <v>1</v>
      </c>
      <c r="M313" s="6">
        <v>2430.36</v>
      </c>
      <c r="N313" s="13">
        <f t="shared" si="20"/>
        <v>2430.36</v>
      </c>
      <c r="O313" s="6">
        <v>15</v>
      </c>
      <c r="P313" s="6">
        <f t="shared" si="21"/>
        <v>364.55400000000003</v>
      </c>
      <c r="Q313" s="6">
        <f t="shared" si="22"/>
        <v>2065.806</v>
      </c>
      <c r="R313" s="6" t="str">
        <f t="shared" si="23"/>
        <v>Low Sale</v>
      </c>
      <c r="S313" s="6" t="str" cm="1">
        <f t="array" ref="S313">_xlfn.IFS(L313&gt;5,"High",L313=5,"Medium",L313&lt;5,"Low")</f>
        <v>Low</v>
      </c>
      <c r="T313" s="6" t="str">
        <f t="shared" si="24"/>
        <v>Low</v>
      </c>
    </row>
    <row r="314" spans="1:20" x14ac:dyDescent="0.25">
      <c r="A314" s="6">
        <v>10392</v>
      </c>
      <c r="B314" s="6">
        <v>1967</v>
      </c>
      <c r="C314" s="11">
        <v>45027</v>
      </c>
      <c r="D314" s="11">
        <v>45036</v>
      </c>
      <c r="E314" s="6" t="s">
        <v>85</v>
      </c>
      <c r="F314" s="6" t="s">
        <v>101</v>
      </c>
      <c r="G314" s="6" t="s">
        <v>87</v>
      </c>
      <c r="H314" s="6" t="s">
        <v>88</v>
      </c>
      <c r="I314" s="6" t="s">
        <v>115</v>
      </c>
      <c r="J314" s="6" t="s">
        <v>123</v>
      </c>
      <c r="K314" s="6" t="s">
        <v>96</v>
      </c>
      <c r="L314" s="6">
        <v>3</v>
      </c>
      <c r="M314" s="6">
        <v>1553.98</v>
      </c>
      <c r="N314" s="13">
        <f t="shared" si="20"/>
        <v>4661.9400000000005</v>
      </c>
      <c r="O314" s="6">
        <v>15</v>
      </c>
      <c r="P314" s="6">
        <f t="shared" si="21"/>
        <v>699.29100000000005</v>
      </c>
      <c r="Q314" s="6">
        <f t="shared" si="22"/>
        <v>3962.6490000000003</v>
      </c>
      <c r="R314" s="6" t="str">
        <f t="shared" si="23"/>
        <v>Low Sale</v>
      </c>
      <c r="S314" s="6" t="str" cm="1">
        <f t="array" ref="S314">_xlfn.IFS(L314&gt;5,"High",L314=5,"Medium",L314&lt;5,"Low")</f>
        <v>Low</v>
      </c>
      <c r="T314" s="6" t="str">
        <f t="shared" si="24"/>
        <v>Low</v>
      </c>
    </row>
    <row r="315" spans="1:20" x14ac:dyDescent="0.25">
      <c r="A315" s="6">
        <v>10393</v>
      </c>
      <c r="B315" s="6">
        <v>1419</v>
      </c>
      <c r="C315" s="11">
        <v>45186</v>
      </c>
      <c r="D315" s="11">
        <v>45191</v>
      </c>
      <c r="E315" s="6" t="s">
        <v>103</v>
      </c>
      <c r="F315" s="6" t="s">
        <v>86</v>
      </c>
      <c r="G315" s="6" t="s">
        <v>87</v>
      </c>
      <c r="H315" s="6" t="s">
        <v>98</v>
      </c>
      <c r="I315" s="6" t="s">
        <v>115</v>
      </c>
      <c r="J315" s="6" t="s">
        <v>123</v>
      </c>
      <c r="K315" s="6" t="s">
        <v>108</v>
      </c>
      <c r="L315" s="6">
        <v>8</v>
      </c>
      <c r="M315" s="6">
        <v>2993.25</v>
      </c>
      <c r="N315" s="13">
        <f t="shared" si="20"/>
        <v>23946</v>
      </c>
      <c r="O315" s="6">
        <v>10</v>
      </c>
      <c r="P315" s="6">
        <f t="shared" si="21"/>
        <v>2394.6</v>
      </c>
      <c r="Q315" s="6">
        <f t="shared" si="22"/>
        <v>21551.4</v>
      </c>
      <c r="R315" s="6" t="str">
        <f t="shared" si="23"/>
        <v>High Sale</v>
      </c>
      <c r="S315" s="6" t="str" cm="1">
        <f t="array" ref="S315">_xlfn.IFS(L315&gt;5,"High",L315=5,"Medium",L315&lt;5,"Low")</f>
        <v>High</v>
      </c>
      <c r="T315" s="6" t="str">
        <f t="shared" si="24"/>
        <v>High</v>
      </c>
    </row>
    <row r="316" spans="1:20" x14ac:dyDescent="0.25">
      <c r="A316" s="6">
        <v>10394</v>
      </c>
      <c r="B316" s="6">
        <v>1421</v>
      </c>
      <c r="C316" s="11">
        <v>45172</v>
      </c>
      <c r="D316" s="11">
        <v>45173</v>
      </c>
      <c r="E316" s="6" t="s">
        <v>85</v>
      </c>
      <c r="F316" s="6" t="s">
        <v>92</v>
      </c>
      <c r="G316" s="6" t="s">
        <v>80</v>
      </c>
      <c r="H316" s="6" t="s">
        <v>81</v>
      </c>
      <c r="I316" s="6" t="s">
        <v>112</v>
      </c>
      <c r="J316" s="6" t="s">
        <v>113</v>
      </c>
      <c r="K316" s="6" t="s">
        <v>110</v>
      </c>
      <c r="L316" s="6">
        <v>6</v>
      </c>
      <c r="M316" s="6">
        <v>2716.48</v>
      </c>
      <c r="N316" s="13">
        <f t="shared" si="20"/>
        <v>16298.880000000001</v>
      </c>
      <c r="O316" s="6">
        <v>0</v>
      </c>
      <c r="P316" s="6">
        <f t="shared" si="21"/>
        <v>0</v>
      </c>
      <c r="Q316" s="6">
        <f t="shared" si="22"/>
        <v>16298.880000000001</v>
      </c>
      <c r="R316" s="6" t="str">
        <f t="shared" si="23"/>
        <v>High Sale</v>
      </c>
      <c r="S316" s="6" t="str" cm="1">
        <f t="array" ref="S316">_xlfn.IFS(L316&gt;5,"High",L316=5,"Medium",L316&lt;5,"Low")</f>
        <v>High</v>
      </c>
      <c r="T316" s="6" t="str">
        <f t="shared" si="24"/>
        <v>High</v>
      </c>
    </row>
    <row r="317" spans="1:20" x14ac:dyDescent="0.25">
      <c r="A317" s="6">
        <v>10395</v>
      </c>
      <c r="B317" s="6">
        <v>1103</v>
      </c>
      <c r="C317" s="11">
        <v>45201</v>
      </c>
      <c r="D317" s="11">
        <v>45206</v>
      </c>
      <c r="E317" s="6" t="s">
        <v>79</v>
      </c>
      <c r="F317" s="6" t="s">
        <v>86</v>
      </c>
      <c r="G317" s="6" t="s">
        <v>87</v>
      </c>
      <c r="H317" s="6" t="s">
        <v>107</v>
      </c>
      <c r="I317" s="6" t="s">
        <v>89</v>
      </c>
      <c r="J317" s="6" t="s">
        <v>99</v>
      </c>
      <c r="K317" s="6" t="s">
        <v>108</v>
      </c>
      <c r="L317" s="6">
        <v>2</v>
      </c>
      <c r="M317" s="6">
        <v>610.30999999999995</v>
      </c>
      <c r="N317" s="13">
        <f t="shared" si="20"/>
        <v>1220.6199999999999</v>
      </c>
      <c r="O317" s="6">
        <v>10</v>
      </c>
      <c r="P317" s="6">
        <f t="shared" si="21"/>
        <v>122.062</v>
      </c>
      <c r="Q317" s="6">
        <f t="shared" si="22"/>
        <v>1098.558</v>
      </c>
      <c r="R317" s="6" t="str">
        <f t="shared" si="23"/>
        <v>Low Sale</v>
      </c>
      <c r="S317" s="6" t="str" cm="1">
        <f t="array" ref="S317">_xlfn.IFS(L317&gt;5,"High",L317=5,"Medium",L317&lt;5,"Low")</f>
        <v>Low</v>
      </c>
      <c r="T317" s="6" t="str">
        <f t="shared" si="24"/>
        <v>Low</v>
      </c>
    </row>
    <row r="318" spans="1:20" x14ac:dyDescent="0.25">
      <c r="A318" s="6">
        <v>10396</v>
      </c>
      <c r="B318" s="6">
        <v>1851</v>
      </c>
      <c r="C318" s="11">
        <v>44958</v>
      </c>
      <c r="D318" s="11">
        <v>44966</v>
      </c>
      <c r="E318" s="6" t="s">
        <v>109</v>
      </c>
      <c r="F318" s="6" t="s">
        <v>79</v>
      </c>
      <c r="G318" s="6" t="s">
        <v>93</v>
      </c>
      <c r="H318" s="6" t="s">
        <v>107</v>
      </c>
      <c r="I318" s="6" t="s">
        <v>112</v>
      </c>
      <c r="J318" s="6" t="s">
        <v>114</v>
      </c>
      <c r="K318" s="6" t="s">
        <v>110</v>
      </c>
      <c r="L318" s="6">
        <v>6</v>
      </c>
      <c r="M318" s="6">
        <v>2354.67</v>
      </c>
      <c r="N318" s="13">
        <f t="shared" si="20"/>
        <v>14128.02</v>
      </c>
      <c r="O318" s="6">
        <v>15</v>
      </c>
      <c r="P318" s="6">
        <f t="shared" si="21"/>
        <v>2119.203</v>
      </c>
      <c r="Q318" s="6">
        <f t="shared" si="22"/>
        <v>12008.817000000001</v>
      </c>
      <c r="R318" s="6" t="str">
        <f t="shared" si="23"/>
        <v>High Sale</v>
      </c>
      <c r="S318" s="6" t="str" cm="1">
        <f t="array" ref="S318">_xlfn.IFS(L318&gt;5,"High",L318=5,"Medium",L318&lt;5,"Low")</f>
        <v>High</v>
      </c>
      <c r="T318" s="6" t="str">
        <f t="shared" si="24"/>
        <v>High</v>
      </c>
    </row>
    <row r="319" spans="1:20" x14ac:dyDescent="0.25">
      <c r="A319" s="6">
        <v>10398</v>
      </c>
      <c r="B319" s="6">
        <v>1226</v>
      </c>
      <c r="C319" s="11">
        <v>44938</v>
      </c>
      <c r="D319" s="11">
        <v>44943</v>
      </c>
      <c r="E319" s="6" t="s">
        <v>85</v>
      </c>
      <c r="F319" s="6" t="s">
        <v>92</v>
      </c>
      <c r="G319" s="6" t="s">
        <v>80</v>
      </c>
      <c r="H319" s="6" t="s">
        <v>107</v>
      </c>
      <c r="I319" s="6" t="s">
        <v>112</v>
      </c>
      <c r="J319" s="6" t="s">
        <v>126</v>
      </c>
      <c r="K319" s="6" t="s">
        <v>96</v>
      </c>
      <c r="L319" s="6">
        <v>5</v>
      </c>
      <c r="M319" s="6">
        <v>3245.77</v>
      </c>
      <c r="N319" s="13">
        <f t="shared" si="20"/>
        <v>16228.85</v>
      </c>
      <c r="O319" s="6">
        <v>0</v>
      </c>
      <c r="P319" s="6">
        <f t="shared" si="21"/>
        <v>0</v>
      </c>
      <c r="Q319" s="6">
        <f t="shared" si="22"/>
        <v>16228.85</v>
      </c>
      <c r="R319" s="6" t="str">
        <f t="shared" si="23"/>
        <v>High Sale</v>
      </c>
      <c r="S319" s="6" t="str" cm="1">
        <f t="array" ref="S319">_xlfn.IFS(L319&gt;5,"High",L319=5,"Medium",L319&lt;5,"Low")</f>
        <v>Medium</v>
      </c>
      <c r="T319" s="6" t="str">
        <f t="shared" si="24"/>
        <v>Medium</v>
      </c>
    </row>
    <row r="320" spans="1:20" x14ac:dyDescent="0.25">
      <c r="A320" s="6">
        <v>10399</v>
      </c>
      <c r="B320" s="6">
        <v>1111</v>
      </c>
      <c r="C320" s="11">
        <v>45228</v>
      </c>
      <c r="D320" s="11">
        <v>45237</v>
      </c>
      <c r="E320" s="6" t="s">
        <v>79</v>
      </c>
      <c r="F320" s="6" t="s">
        <v>79</v>
      </c>
      <c r="G320" s="6" t="s">
        <v>87</v>
      </c>
      <c r="H320" s="6" t="s">
        <v>105</v>
      </c>
      <c r="I320" s="6" t="s">
        <v>82</v>
      </c>
      <c r="J320" s="6" t="s">
        <v>106</v>
      </c>
      <c r="K320" s="6" t="s">
        <v>96</v>
      </c>
      <c r="L320" s="6">
        <v>3</v>
      </c>
      <c r="M320" s="6">
        <v>1789.86</v>
      </c>
      <c r="N320" s="13">
        <f t="shared" si="20"/>
        <v>5369.58</v>
      </c>
      <c r="O320" s="6">
        <v>0</v>
      </c>
      <c r="P320" s="6">
        <f t="shared" si="21"/>
        <v>0</v>
      </c>
      <c r="Q320" s="6">
        <f t="shared" si="22"/>
        <v>5369.58</v>
      </c>
      <c r="R320" s="6" t="str">
        <f t="shared" si="23"/>
        <v>Low Sale</v>
      </c>
      <c r="S320" s="6" t="str" cm="1">
        <f t="array" ref="S320">_xlfn.IFS(L320&gt;5,"High",L320=5,"Medium",L320&lt;5,"Low")</f>
        <v>Low</v>
      </c>
      <c r="T320" s="6" t="str">
        <f t="shared" si="24"/>
        <v>Low</v>
      </c>
    </row>
    <row r="321" spans="1:20" x14ac:dyDescent="0.25">
      <c r="A321" s="6">
        <v>10403</v>
      </c>
      <c r="B321" s="6">
        <v>1152</v>
      </c>
      <c r="C321" s="11">
        <v>45035</v>
      </c>
      <c r="D321" s="11">
        <v>45037</v>
      </c>
      <c r="E321" s="6" t="s">
        <v>79</v>
      </c>
      <c r="F321" s="6" t="s">
        <v>101</v>
      </c>
      <c r="G321" s="6" t="s">
        <v>87</v>
      </c>
      <c r="H321" s="6" t="s">
        <v>107</v>
      </c>
      <c r="I321" s="6" t="s">
        <v>89</v>
      </c>
      <c r="J321" s="6" t="s">
        <v>99</v>
      </c>
      <c r="K321" s="6" t="s">
        <v>84</v>
      </c>
      <c r="L321" s="6">
        <v>1</v>
      </c>
      <c r="M321" s="6">
        <v>2743.75</v>
      </c>
      <c r="N321" s="13">
        <f t="shared" si="20"/>
        <v>2743.75</v>
      </c>
      <c r="O321" s="6">
        <v>15</v>
      </c>
      <c r="P321" s="6">
        <f t="shared" si="21"/>
        <v>411.5625</v>
      </c>
      <c r="Q321" s="6">
        <f t="shared" si="22"/>
        <v>2332.1875</v>
      </c>
      <c r="R321" s="6" t="str">
        <f t="shared" si="23"/>
        <v>Low Sale</v>
      </c>
      <c r="S321" s="6" t="str" cm="1">
        <f t="array" ref="S321">_xlfn.IFS(L321&gt;5,"High",L321=5,"Medium",L321&lt;5,"Low")</f>
        <v>Low</v>
      </c>
      <c r="T321" s="6" t="str">
        <f t="shared" si="24"/>
        <v>Low</v>
      </c>
    </row>
    <row r="322" spans="1:20" x14ac:dyDescent="0.25">
      <c r="A322" s="6">
        <v>10405</v>
      </c>
      <c r="B322" s="6">
        <v>1913</v>
      </c>
      <c r="C322" s="11">
        <v>45084</v>
      </c>
      <c r="D322" s="11">
        <v>45091</v>
      </c>
      <c r="E322" s="6" t="s">
        <v>109</v>
      </c>
      <c r="F322" s="6" t="s">
        <v>86</v>
      </c>
      <c r="G322" s="6" t="s">
        <v>87</v>
      </c>
      <c r="H322" s="6" t="s">
        <v>88</v>
      </c>
      <c r="I322" s="6" t="s">
        <v>82</v>
      </c>
      <c r="J322" s="6" t="s">
        <v>132</v>
      </c>
      <c r="K322" s="6" t="s">
        <v>108</v>
      </c>
      <c r="L322" s="6">
        <v>4</v>
      </c>
      <c r="M322" s="6">
        <v>1333.99</v>
      </c>
      <c r="N322" s="13">
        <f t="shared" si="20"/>
        <v>5335.96</v>
      </c>
      <c r="O322" s="6">
        <v>5</v>
      </c>
      <c r="P322" s="6">
        <f t="shared" si="21"/>
        <v>266.798</v>
      </c>
      <c r="Q322" s="6">
        <f t="shared" si="22"/>
        <v>5069.1620000000003</v>
      </c>
      <c r="R322" s="6" t="str">
        <f t="shared" si="23"/>
        <v>Low Sale</v>
      </c>
      <c r="S322" s="6" t="str" cm="1">
        <f t="array" ref="S322">_xlfn.IFS(L322&gt;5,"High",L322=5,"Medium",L322&lt;5,"Low")</f>
        <v>Low</v>
      </c>
      <c r="T322" s="6" t="str">
        <f t="shared" si="24"/>
        <v>Low</v>
      </c>
    </row>
    <row r="323" spans="1:20" x14ac:dyDescent="0.25">
      <c r="A323" s="6">
        <v>10406</v>
      </c>
      <c r="B323" s="6">
        <v>1895</v>
      </c>
      <c r="C323" s="11">
        <v>45195</v>
      </c>
      <c r="D323" s="11">
        <v>45204</v>
      </c>
      <c r="E323" s="6" t="s">
        <v>79</v>
      </c>
      <c r="F323" s="6" t="s">
        <v>92</v>
      </c>
      <c r="G323" s="6" t="s">
        <v>93</v>
      </c>
      <c r="H323" s="6" t="s">
        <v>107</v>
      </c>
      <c r="I323" s="6" t="s">
        <v>112</v>
      </c>
      <c r="J323" s="6" t="s">
        <v>114</v>
      </c>
      <c r="K323" s="6" t="s">
        <v>84</v>
      </c>
      <c r="L323" s="6">
        <v>1</v>
      </c>
      <c r="M323" s="6">
        <v>2044.41</v>
      </c>
      <c r="N323" s="13">
        <f t="shared" ref="N323:N373" si="25">L323*M323</f>
        <v>2044.41</v>
      </c>
      <c r="O323" s="6">
        <v>0</v>
      </c>
      <c r="P323" s="6">
        <f t="shared" ref="P323:P373" si="26">N323*O323%</f>
        <v>0</v>
      </c>
      <c r="Q323" s="6">
        <f t="shared" ref="Q323:Q373" si="27">N323-P323</f>
        <v>2044.41</v>
      </c>
      <c r="R323" s="6" t="str">
        <f t="shared" ref="R323:R373" si="28">IF(L323&gt;=5,"High Sale", "Low Sale")</f>
        <v>Low Sale</v>
      </c>
      <c r="S323" s="6" t="str" cm="1">
        <f t="array" ref="S323">_xlfn.IFS(L323&gt;5,"High",L323=5,"Medium",L323&lt;5,"Low")</f>
        <v>Low</v>
      </c>
      <c r="T323" s="6" t="str">
        <f t="shared" ref="T323:T373" si="29">IF(L323&gt;5,"High",IF(L323=5,"Medium","Low"))</f>
        <v>Low</v>
      </c>
    </row>
    <row r="324" spans="1:20" x14ac:dyDescent="0.25">
      <c r="A324" s="6">
        <v>10407</v>
      </c>
      <c r="B324" s="6">
        <v>1877</v>
      </c>
      <c r="C324" s="11">
        <v>45088</v>
      </c>
      <c r="D324" s="11">
        <v>45090</v>
      </c>
      <c r="E324" s="6" t="s">
        <v>85</v>
      </c>
      <c r="F324" s="6" t="s">
        <v>86</v>
      </c>
      <c r="G324" s="6" t="s">
        <v>87</v>
      </c>
      <c r="H324" s="6" t="s">
        <v>88</v>
      </c>
      <c r="I324" s="6" t="s">
        <v>115</v>
      </c>
      <c r="J324" s="6" t="s">
        <v>116</v>
      </c>
      <c r="K324" s="6" t="s">
        <v>96</v>
      </c>
      <c r="L324" s="6">
        <v>9</v>
      </c>
      <c r="M324" s="6">
        <v>3216.56</v>
      </c>
      <c r="N324" s="13">
        <f t="shared" si="25"/>
        <v>28949.040000000001</v>
      </c>
      <c r="O324" s="6">
        <v>20</v>
      </c>
      <c r="P324" s="6">
        <f t="shared" si="26"/>
        <v>5789.8080000000009</v>
      </c>
      <c r="Q324" s="6">
        <f t="shared" si="27"/>
        <v>23159.232</v>
      </c>
      <c r="R324" s="6" t="str">
        <f t="shared" si="28"/>
        <v>High Sale</v>
      </c>
      <c r="S324" s="6" t="str" cm="1">
        <f t="array" ref="S324">_xlfn.IFS(L324&gt;5,"High",L324=5,"Medium",L324&lt;5,"Low")</f>
        <v>High</v>
      </c>
      <c r="T324" s="6" t="str">
        <f t="shared" si="29"/>
        <v>High</v>
      </c>
    </row>
    <row r="325" spans="1:20" x14ac:dyDescent="0.25">
      <c r="A325" s="6">
        <v>10409</v>
      </c>
      <c r="B325" s="6">
        <v>1705</v>
      </c>
      <c r="C325" s="11">
        <v>45028</v>
      </c>
      <c r="D325" s="11">
        <v>45034</v>
      </c>
      <c r="E325" s="6" t="s">
        <v>100</v>
      </c>
      <c r="F325" s="6" t="s">
        <v>79</v>
      </c>
      <c r="G325" s="6" t="s">
        <v>87</v>
      </c>
      <c r="H325" s="6" t="s">
        <v>81</v>
      </c>
      <c r="I325" s="6" t="s">
        <v>94</v>
      </c>
      <c r="J325" s="6" t="s">
        <v>102</v>
      </c>
      <c r="K325" s="6" t="s">
        <v>96</v>
      </c>
      <c r="L325" s="6">
        <v>7</v>
      </c>
      <c r="M325" s="6">
        <v>1020.23</v>
      </c>
      <c r="N325" s="13">
        <f t="shared" si="25"/>
        <v>7141.6100000000006</v>
      </c>
      <c r="O325" s="6">
        <v>10</v>
      </c>
      <c r="P325" s="6">
        <f t="shared" si="26"/>
        <v>714.16100000000006</v>
      </c>
      <c r="Q325" s="6">
        <f t="shared" si="27"/>
        <v>6427.4490000000005</v>
      </c>
      <c r="R325" s="6" t="str">
        <f t="shared" si="28"/>
        <v>High Sale</v>
      </c>
      <c r="S325" s="6" t="str" cm="1">
        <f t="array" ref="S325">_xlfn.IFS(L325&gt;5,"High",L325=5,"Medium",L325&lt;5,"Low")</f>
        <v>High</v>
      </c>
      <c r="T325" s="6" t="str">
        <f t="shared" si="29"/>
        <v>High</v>
      </c>
    </row>
    <row r="326" spans="1:20" x14ac:dyDescent="0.25">
      <c r="A326" s="6">
        <v>10411</v>
      </c>
      <c r="B326" s="6">
        <v>1162</v>
      </c>
      <c r="C326" s="11">
        <v>44985</v>
      </c>
      <c r="D326" s="11">
        <v>44993</v>
      </c>
      <c r="E326" s="6" t="s">
        <v>109</v>
      </c>
      <c r="F326" s="6" t="s">
        <v>79</v>
      </c>
      <c r="G326" s="6" t="s">
        <v>93</v>
      </c>
      <c r="H326" s="6" t="s">
        <v>88</v>
      </c>
      <c r="I326" s="6" t="s">
        <v>82</v>
      </c>
      <c r="J326" s="6" t="s">
        <v>106</v>
      </c>
      <c r="K326" s="6" t="s">
        <v>96</v>
      </c>
      <c r="L326" s="6">
        <v>3</v>
      </c>
      <c r="M326" s="6">
        <v>2165.7199999999998</v>
      </c>
      <c r="N326" s="13">
        <f t="shared" si="25"/>
        <v>6497.16</v>
      </c>
      <c r="O326" s="6">
        <v>5</v>
      </c>
      <c r="P326" s="6">
        <f t="shared" si="26"/>
        <v>324.858</v>
      </c>
      <c r="Q326" s="6">
        <f t="shared" si="27"/>
        <v>6172.3019999999997</v>
      </c>
      <c r="R326" s="6" t="str">
        <f t="shared" si="28"/>
        <v>Low Sale</v>
      </c>
      <c r="S326" s="6" t="str" cm="1">
        <f t="array" ref="S326">_xlfn.IFS(L326&gt;5,"High",L326=5,"Medium",L326&lt;5,"Low")</f>
        <v>Low</v>
      </c>
      <c r="T326" s="6" t="str">
        <f t="shared" si="29"/>
        <v>Low</v>
      </c>
    </row>
    <row r="327" spans="1:20" x14ac:dyDescent="0.25">
      <c r="A327" s="6">
        <v>10413</v>
      </c>
      <c r="B327" s="6">
        <v>1956</v>
      </c>
      <c r="C327" s="11">
        <v>45054</v>
      </c>
      <c r="D327" s="11">
        <v>45056</v>
      </c>
      <c r="E327" s="6" t="s">
        <v>100</v>
      </c>
      <c r="F327" s="6" t="s">
        <v>117</v>
      </c>
      <c r="G327" s="6" t="s">
        <v>87</v>
      </c>
      <c r="H327" s="6" t="s">
        <v>81</v>
      </c>
      <c r="I327" s="6" t="s">
        <v>115</v>
      </c>
      <c r="J327" s="6" t="s">
        <v>116</v>
      </c>
      <c r="K327" s="6" t="s">
        <v>91</v>
      </c>
      <c r="L327" s="6">
        <v>8</v>
      </c>
      <c r="M327" s="6">
        <v>1297.5899999999999</v>
      </c>
      <c r="N327" s="13">
        <f t="shared" si="25"/>
        <v>10380.719999999999</v>
      </c>
      <c r="O327" s="6">
        <v>0</v>
      </c>
      <c r="P327" s="6">
        <f t="shared" si="26"/>
        <v>0</v>
      </c>
      <c r="Q327" s="6">
        <f t="shared" si="27"/>
        <v>10380.719999999999</v>
      </c>
      <c r="R327" s="6" t="str">
        <f t="shared" si="28"/>
        <v>High Sale</v>
      </c>
      <c r="S327" s="6" t="str" cm="1">
        <f t="array" ref="S327">_xlfn.IFS(L327&gt;5,"High",L327=5,"Medium",L327&lt;5,"Low")</f>
        <v>High</v>
      </c>
      <c r="T327" s="6" t="str">
        <f t="shared" si="29"/>
        <v>High</v>
      </c>
    </row>
    <row r="328" spans="1:20" x14ac:dyDescent="0.25">
      <c r="A328" s="6">
        <v>10414</v>
      </c>
      <c r="B328" s="6">
        <v>1680</v>
      </c>
      <c r="C328" s="11">
        <v>45209</v>
      </c>
      <c r="D328" s="11">
        <v>45212</v>
      </c>
      <c r="E328" s="6" t="s">
        <v>109</v>
      </c>
      <c r="F328" s="6" t="s">
        <v>117</v>
      </c>
      <c r="G328" s="6" t="s">
        <v>93</v>
      </c>
      <c r="H328" s="6" t="s">
        <v>105</v>
      </c>
      <c r="I328" s="6" t="s">
        <v>89</v>
      </c>
      <c r="J328" s="6" t="s">
        <v>99</v>
      </c>
      <c r="K328" s="6" t="s">
        <v>108</v>
      </c>
      <c r="L328" s="6">
        <v>1</v>
      </c>
      <c r="M328" s="6">
        <v>1219.7</v>
      </c>
      <c r="N328" s="13">
        <f t="shared" si="25"/>
        <v>1219.7</v>
      </c>
      <c r="O328" s="6">
        <v>5</v>
      </c>
      <c r="P328" s="6">
        <f t="shared" si="26"/>
        <v>60.985000000000007</v>
      </c>
      <c r="Q328" s="6">
        <f t="shared" si="27"/>
        <v>1158.7150000000001</v>
      </c>
      <c r="R328" s="6" t="str">
        <f t="shared" si="28"/>
        <v>Low Sale</v>
      </c>
      <c r="S328" s="6" t="str" cm="1">
        <f t="array" ref="S328">_xlfn.IFS(L328&gt;5,"High",L328=5,"Medium",L328&lt;5,"Low")</f>
        <v>Low</v>
      </c>
      <c r="T328" s="6" t="str">
        <f t="shared" si="29"/>
        <v>Low</v>
      </c>
    </row>
    <row r="329" spans="1:20" x14ac:dyDescent="0.25">
      <c r="A329" s="6">
        <v>10417</v>
      </c>
      <c r="B329" s="6">
        <v>1579</v>
      </c>
      <c r="C329" s="11">
        <v>45057</v>
      </c>
      <c r="D329" s="11">
        <v>45065</v>
      </c>
      <c r="E329" s="6" t="s">
        <v>85</v>
      </c>
      <c r="F329" s="6" t="s">
        <v>117</v>
      </c>
      <c r="G329" s="6" t="s">
        <v>80</v>
      </c>
      <c r="H329" s="6" t="s">
        <v>107</v>
      </c>
      <c r="I329" s="6" t="s">
        <v>115</v>
      </c>
      <c r="J329" s="6" t="s">
        <v>127</v>
      </c>
      <c r="K329" s="6" t="s">
        <v>108</v>
      </c>
      <c r="L329" s="6">
        <v>1</v>
      </c>
      <c r="M329" s="6">
        <v>3354.81</v>
      </c>
      <c r="N329" s="13">
        <f t="shared" si="25"/>
        <v>3354.81</v>
      </c>
      <c r="O329" s="6">
        <v>0</v>
      </c>
      <c r="P329" s="6">
        <f t="shared" si="26"/>
        <v>0</v>
      </c>
      <c r="Q329" s="6">
        <f t="shared" si="27"/>
        <v>3354.81</v>
      </c>
      <c r="R329" s="6" t="str">
        <f t="shared" si="28"/>
        <v>Low Sale</v>
      </c>
      <c r="S329" s="6" t="str" cm="1">
        <f t="array" ref="S329">_xlfn.IFS(L329&gt;5,"High",L329=5,"Medium",L329&lt;5,"Low")</f>
        <v>Low</v>
      </c>
      <c r="T329" s="6" t="str">
        <f t="shared" si="29"/>
        <v>Low</v>
      </c>
    </row>
    <row r="330" spans="1:20" x14ac:dyDescent="0.25">
      <c r="A330" s="6">
        <v>10418</v>
      </c>
      <c r="B330" s="6">
        <v>1800</v>
      </c>
      <c r="C330" s="11">
        <v>45279</v>
      </c>
      <c r="D330" s="11">
        <v>45280</v>
      </c>
      <c r="E330" s="6" t="s">
        <v>103</v>
      </c>
      <c r="F330" s="6" t="s">
        <v>117</v>
      </c>
      <c r="G330" s="6" t="s">
        <v>87</v>
      </c>
      <c r="H330" s="6" t="s">
        <v>98</v>
      </c>
      <c r="I330" s="6" t="s">
        <v>115</v>
      </c>
      <c r="J330" s="6" t="s">
        <v>119</v>
      </c>
      <c r="K330" s="6" t="s">
        <v>96</v>
      </c>
      <c r="L330" s="6">
        <v>8</v>
      </c>
      <c r="M330" s="6">
        <v>3905.57</v>
      </c>
      <c r="N330" s="13">
        <f t="shared" si="25"/>
        <v>31244.560000000001</v>
      </c>
      <c r="O330" s="6">
        <v>10</v>
      </c>
      <c r="P330" s="6">
        <f t="shared" si="26"/>
        <v>3124.4560000000001</v>
      </c>
      <c r="Q330" s="6">
        <f t="shared" si="27"/>
        <v>28120.103999999999</v>
      </c>
      <c r="R330" s="6" t="str">
        <f t="shared" si="28"/>
        <v>High Sale</v>
      </c>
      <c r="S330" s="6" t="str" cm="1">
        <f t="array" ref="S330">_xlfn.IFS(L330&gt;5,"High",L330=5,"Medium",L330&lt;5,"Low")</f>
        <v>High</v>
      </c>
      <c r="T330" s="6" t="str">
        <f t="shared" si="29"/>
        <v>High</v>
      </c>
    </row>
    <row r="331" spans="1:20" x14ac:dyDescent="0.25">
      <c r="A331" s="6">
        <v>10422</v>
      </c>
      <c r="B331" s="6">
        <v>1915</v>
      </c>
      <c r="C331" s="11">
        <v>45059</v>
      </c>
      <c r="D331" s="11">
        <v>45061</v>
      </c>
      <c r="E331" s="6" t="s">
        <v>79</v>
      </c>
      <c r="F331" s="6" t="s">
        <v>117</v>
      </c>
      <c r="G331" s="6" t="s">
        <v>80</v>
      </c>
      <c r="H331" s="6" t="s">
        <v>81</v>
      </c>
      <c r="I331" s="6" t="s">
        <v>115</v>
      </c>
      <c r="J331" s="6" t="s">
        <v>127</v>
      </c>
      <c r="K331" s="6" t="s">
        <v>110</v>
      </c>
      <c r="L331" s="6">
        <v>6</v>
      </c>
      <c r="M331" s="6">
        <v>1288.31</v>
      </c>
      <c r="N331" s="13">
        <f t="shared" si="25"/>
        <v>7729.86</v>
      </c>
      <c r="O331" s="6">
        <v>15</v>
      </c>
      <c r="P331" s="6">
        <f t="shared" si="26"/>
        <v>1159.4789999999998</v>
      </c>
      <c r="Q331" s="6">
        <f t="shared" si="27"/>
        <v>6570.3809999999994</v>
      </c>
      <c r="R331" s="6" t="str">
        <f t="shared" si="28"/>
        <v>High Sale</v>
      </c>
      <c r="S331" s="6" t="str" cm="1">
        <f t="array" ref="S331">_xlfn.IFS(L331&gt;5,"High",L331=5,"Medium",L331&lt;5,"Low")</f>
        <v>High</v>
      </c>
      <c r="T331" s="6" t="str">
        <f t="shared" si="29"/>
        <v>High</v>
      </c>
    </row>
    <row r="332" spans="1:20" x14ac:dyDescent="0.25">
      <c r="A332" s="6">
        <v>10423</v>
      </c>
      <c r="B332" s="6">
        <v>1503</v>
      </c>
      <c r="C332" s="11">
        <v>45153</v>
      </c>
      <c r="D332" s="11">
        <v>45155</v>
      </c>
      <c r="E332" s="6" t="s">
        <v>103</v>
      </c>
      <c r="F332" s="6" t="s">
        <v>79</v>
      </c>
      <c r="G332" s="6" t="s">
        <v>87</v>
      </c>
      <c r="H332" s="6" t="s">
        <v>107</v>
      </c>
      <c r="I332" s="6" t="s">
        <v>115</v>
      </c>
      <c r="J332" s="6" t="s">
        <v>123</v>
      </c>
      <c r="K332" s="6" t="s">
        <v>110</v>
      </c>
      <c r="L332" s="6">
        <v>9</v>
      </c>
      <c r="M332" s="6">
        <v>3740.3</v>
      </c>
      <c r="N332" s="13">
        <f t="shared" si="25"/>
        <v>33662.700000000004</v>
      </c>
      <c r="O332" s="6">
        <v>10</v>
      </c>
      <c r="P332" s="6">
        <f t="shared" si="26"/>
        <v>3366.2700000000004</v>
      </c>
      <c r="Q332" s="6">
        <f t="shared" si="27"/>
        <v>30296.430000000004</v>
      </c>
      <c r="R332" s="6" t="str">
        <f t="shared" si="28"/>
        <v>High Sale</v>
      </c>
      <c r="S332" s="6" t="str" cm="1">
        <f t="array" ref="S332">_xlfn.IFS(L332&gt;5,"High",L332=5,"Medium",L332&lt;5,"Low")</f>
        <v>High</v>
      </c>
      <c r="T332" s="6" t="str">
        <f t="shared" si="29"/>
        <v>High</v>
      </c>
    </row>
    <row r="333" spans="1:20" x14ac:dyDescent="0.25">
      <c r="A333" s="6">
        <v>10427</v>
      </c>
      <c r="B333" s="6">
        <v>1194</v>
      </c>
      <c r="C333" s="11">
        <v>45137</v>
      </c>
      <c r="D333" s="11">
        <v>45140</v>
      </c>
      <c r="E333" s="6" t="s">
        <v>103</v>
      </c>
      <c r="F333" s="6" t="s">
        <v>86</v>
      </c>
      <c r="G333" s="6" t="s">
        <v>87</v>
      </c>
      <c r="H333" s="6" t="s">
        <v>88</v>
      </c>
      <c r="I333" s="6" t="s">
        <v>82</v>
      </c>
      <c r="J333" s="6" t="s">
        <v>118</v>
      </c>
      <c r="K333" s="6" t="s">
        <v>91</v>
      </c>
      <c r="L333" s="6">
        <v>9</v>
      </c>
      <c r="M333" s="6">
        <v>2454.59</v>
      </c>
      <c r="N333" s="13">
        <f t="shared" si="25"/>
        <v>22091.31</v>
      </c>
      <c r="O333" s="6">
        <v>5</v>
      </c>
      <c r="P333" s="6">
        <f t="shared" si="26"/>
        <v>1104.5655000000002</v>
      </c>
      <c r="Q333" s="6">
        <f t="shared" si="27"/>
        <v>20986.744500000001</v>
      </c>
      <c r="R333" s="6" t="str">
        <f t="shared" si="28"/>
        <v>High Sale</v>
      </c>
      <c r="S333" s="6" t="str" cm="1">
        <f t="array" ref="S333">_xlfn.IFS(L333&gt;5,"High",L333=5,"Medium",L333&lt;5,"Low")</f>
        <v>High</v>
      </c>
      <c r="T333" s="6" t="str">
        <f t="shared" si="29"/>
        <v>High</v>
      </c>
    </row>
    <row r="334" spans="1:20" x14ac:dyDescent="0.25">
      <c r="A334" s="6">
        <v>10431</v>
      </c>
      <c r="B334" s="6">
        <v>1687</v>
      </c>
      <c r="C334" s="11">
        <v>45139</v>
      </c>
      <c r="D334" s="11">
        <v>45146</v>
      </c>
      <c r="E334" s="6" t="s">
        <v>109</v>
      </c>
      <c r="F334" s="6" t="s">
        <v>101</v>
      </c>
      <c r="G334" s="6" t="s">
        <v>93</v>
      </c>
      <c r="H334" s="6" t="s">
        <v>98</v>
      </c>
      <c r="I334" s="6" t="s">
        <v>112</v>
      </c>
      <c r="J334" s="6" t="s">
        <v>114</v>
      </c>
      <c r="K334" s="6" t="s">
        <v>91</v>
      </c>
      <c r="L334" s="6">
        <v>6</v>
      </c>
      <c r="M334" s="6">
        <v>2247.37</v>
      </c>
      <c r="N334" s="13">
        <f t="shared" si="25"/>
        <v>13484.22</v>
      </c>
      <c r="O334" s="6">
        <v>15</v>
      </c>
      <c r="P334" s="6">
        <f t="shared" si="26"/>
        <v>2022.6329999999998</v>
      </c>
      <c r="Q334" s="6">
        <f t="shared" si="27"/>
        <v>11461.587</v>
      </c>
      <c r="R334" s="6" t="str">
        <f t="shared" si="28"/>
        <v>High Sale</v>
      </c>
      <c r="S334" s="6" t="str" cm="1">
        <f t="array" ref="S334">_xlfn.IFS(L334&gt;5,"High",L334=5,"Medium",L334&lt;5,"Low")</f>
        <v>High</v>
      </c>
      <c r="T334" s="6" t="str">
        <f t="shared" si="29"/>
        <v>High</v>
      </c>
    </row>
    <row r="335" spans="1:20" x14ac:dyDescent="0.25">
      <c r="A335" s="6">
        <v>10434</v>
      </c>
      <c r="B335" s="6">
        <v>1882</v>
      </c>
      <c r="C335" s="11">
        <v>45057</v>
      </c>
      <c r="D335" s="11">
        <v>45062</v>
      </c>
      <c r="E335" s="6" t="s">
        <v>109</v>
      </c>
      <c r="F335" s="6" t="s">
        <v>117</v>
      </c>
      <c r="G335" s="6" t="s">
        <v>87</v>
      </c>
      <c r="H335" s="6" t="s">
        <v>88</v>
      </c>
      <c r="I335" s="6" t="s">
        <v>82</v>
      </c>
      <c r="J335" s="6" t="s">
        <v>83</v>
      </c>
      <c r="K335" s="6" t="s">
        <v>108</v>
      </c>
      <c r="L335" s="6">
        <v>8</v>
      </c>
      <c r="M335" s="6">
        <v>437.36</v>
      </c>
      <c r="N335" s="13">
        <f t="shared" si="25"/>
        <v>3498.88</v>
      </c>
      <c r="O335" s="6">
        <v>20</v>
      </c>
      <c r="P335" s="6">
        <f t="shared" si="26"/>
        <v>699.77600000000007</v>
      </c>
      <c r="Q335" s="6">
        <f t="shared" si="27"/>
        <v>2799.1040000000003</v>
      </c>
      <c r="R335" s="6" t="str">
        <f t="shared" si="28"/>
        <v>High Sale</v>
      </c>
      <c r="S335" s="6" t="str" cm="1">
        <f t="array" ref="S335">_xlfn.IFS(L335&gt;5,"High",L335=5,"Medium",L335&lt;5,"Low")</f>
        <v>High</v>
      </c>
      <c r="T335" s="6" t="str">
        <f t="shared" si="29"/>
        <v>High</v>
      </c>
    </row>
    <row r="336" spans="1:20" x14ac:dyDescent="0.25">
      <c r="A336" s="6">
        <v>10435</v>
      </c>
      <c r="B336" s="6">
        <v>1469</v>
      </c>
      <c r="C336" s="11">
        <v>45002</v>
      </c>
      <c r="D336" s="11">
        <v>45009</v>
      </c>
      <c r="E336" s="6" t="s">
        <v>78</v>
      </c>
      <c r="F336" s="6" t="s">
        <v>92</v>
      </c>
      <c r="G336" s="6" t="s">
        <v>87</v>
      </c>
      <c r="H336" s="6" t="s">
        <v>107</v>
      </c>
      <c r="I336" s="6" t="s">
        <v>115</v>
      </c>
      <c r="J336" s="6" t="s">
        <v>119</v>
      </c>
      <c r="K336" s="6" t="s">
        <v>84</v>
      </c>
      <c r="L336" s="6">
        <v>3</v>
      </c>
      <c r="M336" s="6">
        <v>3644.78</v>
      </c>
      <c r="N336" s="13">
        <f t="shared" si="25"/>
        <v>10934.34</v>
      </c>
      <c r="O336" s="6">
        <v>0</v>
      </c>
      <c r="P336" s="6">
        <f t="shared" si="26"/>
        <v>0</v>
      </c>
      <c r="Q336" s="6">
        <f t="shared" si="27"/>
        <v>10934.34</v>
      </c>
      <c r="R336" s="6" t="str">
        <f t="shared" si="28"/>
        <v>Low Sale</v>
      </c>
      <c r="S336" s="6" t="str" cm="1">
        <f t="array" ref="S336">_xlfn.IFS(L336&gt;5,"High",L336=5,"Medium",L336&lt;5,"Low")</f>
        <v>Low</v>
      </c>
      <c r="T336" s="6" t="str">
        <f t="shared" si="29"/>
        <v>Low</v>
      </c>
    </row>
    <row r="337" spans="1:20" x14ac:dyDescent="0.25">
      <c r="A337" s="6">
        <v>10436</v>
      </c>
      <c r="B337" s="6">
        <v>1374</v>
      </c>
      <c r="C337" s="11">
        <v>45212</v>
      </c>
      <c r="D337" s="11">
        <v>45213</v>
      </c>
      <c r="E337" s="6" t="s">
        <v>78</v>
      </c>
      <c r="F337" s="6" t="s">
        <v>86</v>
      </c>
      <c r="G337" s="6" t="s">
        <v>93</v>
      </c>
      <c r="H337" s="6" t="s">
        <v>81</v>
      </c>
      <c r="I337" s="6" t="s">
        <v>115</v>
      </c>
      <c r="J337" s="6" t="s">
        <v>123</v>
      </c>
      <c r="K337" s="6" t="s">
        <v>84</v>
      </c>
      <c r="L337" s="6">
        <v>3</v>
      </c>
      <c r="M337" s="6">
        <v>3986.78</v>
      </c>
      <c r="N337" s="13">
        <f t="shared" si="25"/>
        <v>11960.34</v>
      </c>
      <c r="O337" s="6">
        <v>20</v>
      </c>
      <c r="P337" s="6">
        <f t="shared" si="26"/>
        <v>2392.0680000000002</v>
      </c>
      <c r="Q337" s="6">
        <f t="shared" si="27"/>
        <v>9568.2720000000008</v>
      </c>
      <c r="R337" s="6" t="str">
        <f t="shared" si="28"/>
        <v>Low Sale</v>
      </c>
      <c r="S337" s="6" t="str" cm="1">
        <f t="array" ref="S337">_xlfn.IFS(L337&gt;5,"High",L337=5,"Medium",L337&lt;5,"Low")</f>
        <v>Low</v>
      </c>
      <c r="T337" s="6" t="str">
        <f t="shared" si="29"/>
        <v>Low</v>
      </c>
    </row>
    <row r="338" spans="1:20" x14ac:dyDescent="0.25">
      <c r="A338" s="6">
        <v>10438</v>
      </c>
      <c r="B338" s="6">
        <v>1749</v>
      </c>
      <c r="C338" s="11">
        <v>45082</v>
      </c>
      <c r="D338" s="11">
        <v>45091</v>
      </c>
      <c r="E338" s="6" t="s">
        <v>109</v>
      </c>
      <c r="F338" s="6" t="s">
        <v>86</v>
      </c>
      <c r="G338" s="6" t="s">
        <v>93</v>
      </c>
      <c r="H338" s="6" t="s">
        <v>81</v>
      </c>
      <c r="I338" s="6" t="s">
        <v>89</v>
      </c>
      <c r="J338" s="6" t="s">
        <v>124</v>
      </c>
      <c r="K338" s="6" t="s">
        <v>110</v>
      </c>
      <c r="L338" s="6">
        <v>5</v>
      </c>
      <c r="M338" s="6">
        <v>3116.22</v>
      </c>
      <c r="N338" s="13">
        <f t="shared" si="25"/>
        <v>15581.099999999999</v>
      </c>
      <c r="O338" s="6">
        <v>10</v>
      </c>
      <c r="P338" s="6">
        <f t="shared" si="26"/>
        <v>1558.11</v>
      </c>
      <c r="Q338" s="6">
        <f t="shared" si="27"/>
        <v>14022.989999999998</v>
      </c>
      <c r="R338" s="6" t="str">
        <f t="shared" si="28"/>
        <v>High Sale</v>
      </c>
      <c r="S338" s="6" t="str" cm="1">
        <f t="array" ref="S338">_xlfn.IFS(L338&gt;5,"High",L338=5,"Medium",L338&lt;5,"Low")</f>
        <v>Medium</v>
      </c>
      <c r="T338" s="6" t="str">
        <f t="shared" si="29"/>
        <v>Medium</v>
      </c>
    </row>
    <row r="339" spans="1:20" x14ac:dyDescent="0.25">
      <c r="A339" s="6">
        <v>10439</v>
      </c>
      <c r="B339" s="6">
        <v>1669</v>
      </c>
      <c r="C339" s="11">
        <v>45174</v>
      </c>
      <c r="D339" s="11">
        <v>45179</v>
      </c>
      <c r="E339" s="6" t="s">
        <v>97</v>
      </c>
      <c r="F339" s="6" t="s">
        <v>92</v>
      </c>
      <c r="G339" s="6" t="s">
        <v>87</v>
      </c>
      <c r="H339" s="6" t="s">
        <v>98</v>
      </c>
      <c r="I339" s="6" t="s">
        <v>112</v>
      </c>
      <c r="J339" s="6" t="s">
        <v>114</v>
      </c>
      <c r="K339" s="6" t="s">
        <v>91</v>
      </c>
      <c r="L339" s="6">
        <v>3</v>
      </c>
      <c r="M339" s="6">
        <v>1448.62</v>
      </c>
      <c r="N339" s="13">
        <f t="shared" si="25"/>
        <v>4345.8599999999997</v>
      </c>
      <c r="O339" s="6">
        <v>10</v>
      </c>
      <c r="P339" s="6">
        <f t="shared" si="26"/>
        <v>434.58600000000001</v>
      </c>
      <c r="Q339" s="6">
        <f t="shared" si="27"/>
        <v>3911.2739999999994</v>
      </c>
      <c r="R339" s="6" t="str">
        <f t="shared" si="28"/>
        <v>Low Sale</v>
      </c>
      <c r="S339" s="6" t="str" cm="1">
        <f t="array" ref="S339">_xlfn.IFS(L339&gt;5,"High",L339=5,"Medium",L339&lt;5,"Low")</f>
        <v>Low</v>
      </c>
      <c r="T339" s="6" t="str">
        <f t="shared" si="29"/>
        <v>Low</v>
      </c>
    </row>
    <row r="340" spans="1:20" x14ac:dyDescent="0.25">
      <c r="A340" s="6">
        <v>10440</v>
      </c>
      <c r="B340" s="6">
        <v>1037</v>
      </c>
      <c r="C340" s="11">
        <v>45144</v>
      </c>
      <c r="D340" s="11">
        <v>45149</v>
      </c>
      <c r="E340" s="6" t="s">
        <v>100</v>
      </c>
      <c r="F340" s="6" t="s">
        <v>117</v>
      </c>
      <c r="G340" s="6" t="s">
        <v>80</v>
      </c>
      <c r="H340" s="6" t="s">
        <v>105</v>
      </c>
      <c r="I340" s="6" t="s">
        <v>112</v>
      </c>
      <c r="J340" s="6" t="s">
        <v>113</v>
      </c>
      <c r="K340" s="6" t="s">
        <v>96</v>
      </c>
      <c r="L340" s="6">
        <v>1</v>
      </c>
      <c r="M340" s="6">
        <v>3775.07</v>
      </c>
      <c r="N340" s="13">
        <f t="shared" si="25"/>
        <v>3775.07</v>
      </c>
      <c r="O340" s="6">
        <v>10</v>
      </c>
      <c r="P340" s="6">
        <f t="shared" si="26"/>
        <v>377.50700000000006</v>
      </c>
      <c r="Q340" s="6">
        <f t="shared" si="27"/>
        <v>3397.5630000000001</v>
      </c>
      <c r="R340" s="6" t="str">
        <f t="shared" si="28"/>
        <v>Low Sale</v>
      </c>
      <c r="S340" s="6" t="str" cm="1">
        <f t="array" ref="S340">_xlfn.IFS(L340&gt;5,"High",L340=5,"Medium",L340&lt;5,"Low")</f>
        <v>Low</v>
      </c>
      <c r="T340" s="6" t="str">
        <f t="shared" si="29"/>
        <v>Low</v>
      </c>
    </row>
    <row r="341" spans="1:20" x14ac:dyDescent="0.25">
      <c r="A341" s="6">
        <v>10441</v>
      </c>
      <c r="B341" s="6">
        <v>1229</v>
      </c>
      <c r="C341" s="11">
        <v>45116</v>
      </c>
      <c r="D341" s="11">
        <v>45119</v>
      </c>
      <c r="E341" s="6" t="s">
        <v>79</v>
      </c>
      <c r="F341" s="6" t="s">
        <v>86</v>
      </c>
      <c r="G341" s="6" t="s">
        <v>80</v>
      </c>
      <c r="H341" s="6" t="s">
        <v>105</v>
      </c>
      <c r="I341" s="6" t="s">
        <v>94</v>
      </c>
      <c r="J341" s="6" t="s">
        <v>128</v>
      </c>
      <c r="K341" s="6" t="s">
        <v>108</v>
      </c>
      <c r="L341" s="6">
        <v>3</v>
      </c>
      <c r="M341" s="6">
        <v>2189.4</v>
      </c>
      <c r="N341" s="13">
        <f t="shared" si="25"/>
        <v>6568.2000000000007</v>
      </c>
      <c r="O341" s="6">
        <v>20</v>
      </c>
      <c r="P341" s="6">
        <f t="shared" si="26"/>
        <v>1313.6400000000003</v>
      </c>
      <c r="Q341" s="6">
        <f t="shared" si="27"/>
        <v>5254.56</v>
      </c>
      <c r="R341" s="6" t="str">
        <f t="shared" si="28"/>
        <v>Low Sale</v>
      </c>
      <c r="S341" s="6" t="str" cm="1">
        <f t="array" ref="S341">_xlfn.IFS(L341&gt;5,"High",L341=5,"Medium",L341&lt;5,"Low")</f>
        <v>Low</v>
      </c>
      <c r="T341" s="6" t="str">
        <f t="shared" si="29"/>
        <v>Low</v>
      </c>
    </row>
    <row r="342" spans="1:20" x14ac:dyDescent="0.25">
      <c r="A342" s="6">
        <v>10442</v>
      </c>
      <c r="B342" s="6">
        <v>1364</v>
      </c>
      <c r="C342" s="11">
        <v>45089</v>
      </c>
      <c r="D342" s="11">
        <v>45094</v>
      </c>
      <c r="E342" s="6" t="s">
        <v>78</v>
      </c>
      <c r="F342" s="6" t="s">
        <v>86</v>
      </c>
      <c r="G342" s="6" t="s">
        <v>87</v>
      </c>
      <c r="H342" s="6" t="s">
        <v>98</v>
      </c>
      <c r="I342" s="6" t="s">
        <v>120</v>
      </c>
      <c r="J342" s="6" t="s">
        <v>121</v>
      </c>
      <c r="K342" s="6" t="s">
        <v>108</v>
      </c>
      <c r="L342" s="6">
        <v>9</v>
      </c>
      <c r="M342" s="6">
        <v>2969.7</v>
      </c>
      <c r="N342" s="13">
        <f t="shared" si="25"/>
        <v>26727.3</v>
      </c>
      <c r="O342" s="6">
        <v>10</v>
      </c>
      <c r="P342" s="6">
        <f t="shared" si="26"/>
        <v>2672.73</v>
      </c>
      <c r="Q342" s="6">
        <f t="shared" si="27"/>
        <v>24054.57</v>
      </c>
      <c r="R342" s="6" t="str">
        <f t="shared" si="28"/>
        <v>High Sale</v>
      </c>
      <c r="S342" s="6" t="str" cm="1">
        <f t="array" ref="S342">_xlfn.IFS(L342&gt;5,"High",L342=5,"Medium",L342&lt;5,"Low")</f>
        <v>High</v>
      </c>
      <c r="T342" s="6" t="str">
        <f t="shared" si="29"/>
        <v>High</v>
      </c>
    </row>
    <row r="343" spans="1:20" x14ac:dyDescent="0.25">
      <c r="A343" s="6">
        <v>10444</v>
      </c>
      <c r="B343" s="6">
        <v>1437</v>
      </c>
      <c r="C343" s="11">
        <v>44960</v>
      </c>
      <c r="D343" s="11">
        <v>44969</v>
      </c>
      <c r="E343" s="6" t="s">
        <v>103</v>
      </c>
      <c r="F343" s="6" t="s">
        <v>101</v>
      </c>
      <c r="G343" s="6" t="s">
        <v>93</v>
      </c>
      <c r="H343" s="6" t="s">
        <v>81</v>
      </c>
      <c r="I343" s="6" t="s">
        <v>94</v>
      </c>
      <c r="J343" s="6" t="s">
        <v>95</v>
      </c>
      <c r="K343" s="6" t="s">
        <v>84</v>
      </c>
      <c r="L343" s="6">
        <v>2</v>
      </c>
      <c r="M343" s="6">
        <v>3904.44</v>
      </c>
      <c r="N343" s="13">
        <f t="shared" si="25"/>
        <v>7808.88</v>
      </c>
      <c r="O343" s="6">
        <v>10</v>
      </c>
      <c r="P343" s="6">
        <f t="shared" si="26"/>
        <v>780.88800000000003</v>
      </c>
      <c r="Q343" s="6">
        <f t="shared" si="27"/>
        <v>7027.9920000000002</v>
      </c>
      <c r="R343" s="6" t="str">
        <f t="shared" si="28"/>
        <v>Low Sale</v>
      </c>
      <c r="S343" s="6" t="str" cm="1">
        <f t="array" ref="S343">_xlfn.IFS(L343&gt;5,"High",L343=5,"Medium",L343&lt;5,"Low")</f>
        <v>Low</v>
      </c>
      <c r="T343" s="6" t="str">
        <f t="shared" si="29"/>
        <v>Low</v>
      </c>
    </row>
    <row r="344" spans="1:20" x14ac:dyDescent="0.25">
      <c r="A344" s="6">
        <v>10447</v>
      </c>
      <c r="B344" s="6">
        <v>1026</v>
      </c>
      <c r="C344" s="11">
        <v>45264</v>
      </c>
      <c r="D344" s="11">
        <v>45265</v>
      </c>
      <c r="E344" s="6" t="s">
        <v>97</v>
      </c>
      <c r="F344" s="6" t="s">
        <v>101</v>
      </c>
      <c r="G344" s="6" t="s">
        <v>80</v>
      </c>
      <c r="H344" s="6" t="s">
        <v>98</v>
      </c>
      <c r="I344" s="6" t="s">
        <v>89</v>
      </c>
      <c r="J344" s="6" t="s">
        <v>131</v>
      </c>
      <c r="K344" s="6" t="s">
        <v>91</v>
      </c>
      <c r="L344" s="6">
        <v>4</v>
      </c>
      <c r="M344" s="6">
        <v>3871.21</v>
      </c>
      <c r="N344" s="13">
        <f t="shared" si="25"/>
        <v>15484.84</v>
      </c>
      <c r="O344" s="6">
        <v>10</v>
      </c>
      <c r="P344" s="6">
        <f t="shared" si="26"/>
        <v>1548.4840000000002</v>
      </c>
      <c r="Q344" s="6">
        <f t="shared" si="27"/>
        <v>13936.356</v>
      </c>
      <c r="R344" s="6" t="str">
        <f t="shared" si="28"/>
        <v>Low Sale</v>
      </c>
      <c r="S344" s="6" t="str" cm="1">
        <f t="array" ref="S344">_xlfn.IFS(L344&gt;5,"High",L344=5,"Medium",L344&lt;5,"Low")</f>
        <v>Low</v>
      </c>
      <c r="T344" s="6" t="str">
        <f t="shared" si="29"/>
        <v>Low</v>
      </c>
    </row>
    <row r="345" spans="1:20" x14ac:dyDescent="0.25">
      <c r="A345" s="6">
        <v>10448</v>
      </c>
      <c r="B345" s="6">
        <v>1225</v>
      </c>
      <c r="C345" s="11">
        <v>45240</v>
      </c>
      <c r="D345" s="11">
        <v>45247</v>
      </c>
      <c r="E345" s="6" t="s">
        <v>103</v>
      </c>
      <c r="F345" s="6" t="s">
        <v>101</v>
      </c>
      <c r="G345" s="6" t="s">
        <v>93</v>
      </c>
      <c r="H345" s="6" t="s">
        <v>81</v>
      </c>
      <c r="I345" s="6" t="s">
        <v>82</v>
      </c>
      <c r="J345" s="6" t="s">
        <v>83</v>
      </c>
      <c r="K345" s="6" t="s">
        <v>96</v>
      </c>
      <c r="L345" s="6">
        <v>7</v>
      </c>
      <c r="M345" s="6">
        <v>2568.2600000000002</v>
      </c>
      <c r="N345" s="13">
        <f t="shared" si="25"/>
        <v>17977.82</v>
      </c>
      <c r="O345" s="6">
        <v>10</v>
      </c>
      <c r="P345" s="6">
        <f t="shared" si="26"/>
        <v>1797.7820000000002</v>
      </c>
      <c r="Q345" s="6">
        <f t="shared" si="27"/>
        <v>16180.038</v>
      </c>
      <c r="R345" s="6" t="str">
        <f t="shared" si="28"/>
        <v>High Sale</v>
      </c>
      <c r="S345" s="6" t="str" cm="1">
        <f t="array" ref="S345">_xlfn.IFS(L345&gt;5,"High",L345=5,"Medium",L345&lt;5,"Low")</f>
        <v>High</v>
      </c>
      <c r="T345" s="6" t="str">
        <f t="shared" si="29"/>
        <v>High</v>
      </c>
    </row>
    <row r="346" spans="1:20" x14ac:dyDescent="0.25">
      <c r="A346" s="6">
        <v>10452</v>
      </c>
      <c r="B346" s="6">
        <v>1283</v>
      </c>
      <c r="C346" s="11">
        <v>45076</v>
      </c>
      <c r="D346" s="11">
        <v>45082</v>
      </c>
      <c r="E346" s="6" t="s">
        <v>109</v>
      </c>
      <c r="F346" s="6" t="s">
        <v>86</v>
      </c>
      <c r="G346" s="6" t="s">
        <v>87</v>
      </c>
      <c r="H346" s="6" t="s">
        <v>105</v>
      </c>
      <c r="I346" s="6" t="s">
        <v>112</v>
      </c>
      <c r="J346" s="6" t="s">
        <v>130</v>
      </c>
      <c r="K346" s="6" t="s">
        <v>91</v>
      </c>
      <c r="L346" s="6">
        <v>1</v>
      </c>
      <c r="M346" s="6">
        <v>1574.59</v>
      </c>
      <c r="N346" s="13">
        <f t="shared" si="25"/>
        <v>1574.59</v>
      </c>
      <c r="O346" s="6">
        <v>5</v>
      </c>
      <c r="P346" s="6">
        <f t="shared" si="26"/>
        <v>78.729500000000002</v>
      </c>
      <c r="Q346" s="6">
        <f t="shared" si="27"/>
        <v>1495.8605</v>
      </c>
      <c r="R346" s="6" t="str">
        <f t="shared" si="28"/>
        <v>Low Sale</v>
      </c>
      <c r="S346" s="6" t="str" cm="1">
        <f t="array" ref="S346">_xlfn.IFS(L346&gt;5,"High",L346=5,"Medium",L346&lt;5,"Low")</f>
        <v>Low</v>
      </c>
      <c r="T346" s="6" t="str">
        <f t="shared" si="29"/>
        <v>Low</v>
      </c>
    </row>
    <row r="347" spans="1:20" x14ac:dyDescent="0.25">
      <c r="A347" s="6">
        <v>10454</v>
      </c>
      <c r="B347" s="6">
        <v>1959</v>
      </c>
      <c r="C347" s="11">
        <v>45251</v>
      </c>
      <c r="D347" s="11">
        <v>45255</v>
      </c>
      <c r="E347" s="6" t="s">
        <v>97</v>
      </c>
      <c r="F347" s="6" t="s">
        <v>104</v>
      </c>
      <c r="G347" s="6" t="s">
        <v>80</v>
      </c>
      <c r="H347" s="6" t="s">
        <v>88</v>
      </c>
      <c r="I347" s="6" t="s">
        <v>120</v>
      </c>
      <c r="J347" s="6" t="s">
        <v>121</v>
      </c>
      <c r="K347" s="6" t="s">
        <v>91</v>
      </c>
      <c r="L347" s="6">
        <v>9</v>
      </c>
      <c r="M347" s="6">
        <v>3191.56</v>
      </c>
      <c r="N347" s="13">
        <f t="shared" si="25"/>
        <v>28724.04</v>
      </c>
      <c r="O347" s="6">
        <v>20</v>
      </c>
      <c r="P347" s="6">
        <f t="shared" si="26"/>
        <v>5744.8080000000009</v>
      </c>
      <c r="Q347" s="6">
        <f t="shared" si="27"/>
        <v>22979.232</v>
      </c>
      <c r="R347" s="6" t="str">
        <f t="shared" si="28"/>
        <v>High Sale</v>
      </c>
      <c r="S347" s="6" t="str" cm="1">
        <f t="array" ref="S347">_xlfn.IFS(L347&gt;5,"High",L347=5,"Medium",L347&lt;5,"Low")</f>
        <v>High</v>
      </c>
      <c r="T347" s="6" t="str">
        <f t="shared" si="29"/>
        <v>High</v>
      </c>
    </row>
    <row r="348" spans="1:20" x14ac:dyDescent="0.25">
      <c r="A348" s="6">
        <v>10455</v>
      </c>
      <c r="B348" s="6">
        <v>1480</v>
      </c>
      <c r="C348" s="11">
        <v>45034</v>
      </c>
      <c r="D348" s="11">
        <v>45036</v>
      </c>
      <c r="E348" s="6" t="s">
        <v>78</v>
      </c>
      <c r="F348" s="6" t="s">
        <v>92</v>
      </c>
      <c r="G348" s="6" t="s">
        <v>80</v>
      </c>
      <c r="H348" s="6" t="s">
        <v>81</v>
      </c>
      <c r="I348" s="6" t="s">
        <v>115</v>
      </c>
      <c r="J348" s="6" t="s">
        <v>127</v>
      </c>
      <c r="K348" s="6" t="s">
        <v>108</v>
      </c>
      <c r="L348" s="6">
        <v>2</v>
      </c>
      <c r="M348" s="6">
        <v>1374.23</v>
      </c>
      <c r="N348" s="13">
        <f t="shared" si="25"/>
        <v>2748.46</v>
      </c>
      <c r="O348" s="6">
        <v>0</v>
      </c>
      <c r="P348" s="6">
        <f t="shared" si="26"/>
        <v>0</v>
      </c>
      <c r="Q348" s="6">
        <f t="shared" si="27"/>
        <v>2748.46</v>
      </c>
      <c r="R348" s="6" t="str">
        <f t="shared" si="28"/>
        <v>Low Sale</v>
      </c>
      <c r="S348" s="6" t="str" cm="1">
        <f t="array" ref="S348">_xlfn.IFS(L348&gt;5,"High",L348=5,"Medium",L348&lt;5,"Low")</f>
        <v>Low</v>
      </c>
      <c r="T348" s="6" t="str">
        <f t="shared" si="29"/>
        <v>Low</v>
      </c>
    </row>
    <row r="349" spans="1:20" x14ac:dyDescent="0.25">
      <c r="A349" s="6">
        <v>10457</v>
      </c>
      <c r="B349" s="6">
        <v>1828</v>
      </c>
      <c r="C349" s="11">
        <v>45276</v>
      </c>
      <c r="D349" s="11">
        <v>45280</v>
      </c>
      <c r="E349" s="6" t="s">
        <v>109</v>
      </c>
      <c r="F349" s="6" t="s">
        <v>92</v>
      </c>
      <c r="G349" s="6" t="s">
        <v>87</v>
      </c>
      <c r="H349" s="6" t="s">
        <v>107</v>
      </c>
      <c r="I349" s="6" t="s">
        <v>89</v>
      </c>
      <c r="J349" s="6" t="s">
        <v>90</v>
      </c>
      <c r="K349" s="6" t="s">
        <v>91</v>
      </c>
      <c r="L349" s="6">
        <v>5</v>
      </c>
      <c r="M349" s="6">
        <v>1480.66</v>
      </c>
      <c r="N349" s="13">
        <f t="shared" si="25"/>
        <v>7403.3</v>
      </c>
      <c r="O349" s="6">
        <v>0</v>
      </c>
      <c r="P349" s="6">
        <f t="shared" si="26"/>
        <v>0</v>
      </c>
      <c r="Q349" s="6">
        <f t="shared" si="27"/>
        <v>7403.3</v>
      </c>
      <c r="R349" s="6" t="str">
        <f t="shared" si="28"/>
        <v>High Sale</v>
      </c>
      <c r="S349" s="6" t="str" cm="1">
        <f t="array" ref="S349">_xlfn.IFS(L349&gt;5,"High",L349=5,"Medium",L349&lt;5,"Low")</f>
        <v>Medium</v>
      </c>
      <c r="T349" s="6" t="str">
        <f t="shared" si="29"/>
        <v>Medium</v>
      </c>
    </row>
    <row r="350" spans="1:20" x14ac:dyDescent="0.25">
      <c r="A350" s="6">
        <v>10460</v>
      </c>
      <c r="B350" s="6">
        <v>1515</v>
      </c>
      <c r="C350" s="11">
        <v>45215</v>
      </c>
      <c r="D350" s="11">
        <v>45221</v>
      </c>
      <c r="E350" s="6" t="s">
        <v>85</v>
      </c>
      <c r="F350" s="6" t="s">
        <v>92</v>
      </c>
      <c r="G350" s="6" t="s">
        <v>87</v>
      </c>
      <c r="H350" s="6" t="s">
        <v>88</v>
      </c>
      <c r="I350" s="6" t="s">
        <v>112</v>
      </c>
      <c r="J350" s="6" t="s">
        <v>113</v>
      </c>
      <c r="K350" s="6" t="s">
        <v>84</v>
      </c>
      <c r="L350" s="6">
        <v>1</v>
      </c>
      <c r="M350" s="6">
        <v>445.38</v>
      </c>
      <c r="N350" s="13">
        <f t="shared" si="25"/>
        <v>445.38</v>
      </c>
      <c r="O350" s="6">
        <v>10</v>
      </c>
      <c r="P350" s="6">
        <f t="shared" si="26"/>
        <v>44.538000000000004</v>
      </c>
      <c r="Q350" s="6">
        <f t="shared" si="27"/>
        <v>400.84199999999998</v>
      </c>
      <c r="R350" s="6" t="str">
        <f t="shared" si="28"/>
        <v>Low Sale</v>
      </c>
      <c r="S350" s="6" t="str" cm="1">
        <f t="array" ref="S350">_xlfn.IFS(L350&gt;5,"High",L350=5,"Medium",L350&lt;5,"Low")</f>
        <v>Low</v>
      </c>
      <c r="T350" s="6" t="str">
        <f t="shared" si="29"/>
        <v>Low</v>
      </c>
    </row>
    <row r="351" spans="1:20" x14ac:dyDescent="0.25">
      <c r="A351" s="6">
        <v>10463</v>
      </c>
      <c r="B351" s="6">
        <v>1048</v>
      </c>
      <c r="C351" s="11">
        <v>44992</v>
      </c>
      <c r="D351" s="11">
        <v>45000</v>
      </c>
      <c r="E351" s="6" t="s">
        <v>85</v>
      </c>
      <c r="F351" s="6" t="s">
        <v>79</v>
      </c>
      <c r="G351" s="6" t="s">
        <v>87</v>
      </c>
      <c r="H351" s="6" t="s">
        <v>98</v>
      </c>
      <c r="I351" s="6" t="s">
        <v>89</v>
      </c>
      <c r="J351" s="6" t="s">
        <v>99</v>
      </c>
      <c r="K351" s="6" t="s">
        <v>110</v>
      </c>
      <c r="L351" s="6">
        <v>5</v>
      </c>
      <c r="M351" s="6">
        <v>2072.3200000000002</v>
      </c>
      <c r="N351" s="13">
        <f t="shared" si="25"/>
        <v>10361.6</v>
      </c>
      <c r="O351" s="6">
        <v>15</v>
      </c>
      <c r="P351" s="6">
        <f t="shared" si="26"/>
        <v>1554.24</v>
      </c>
      <c r="Q351" s="6">
        <f t="shared" si="27"/>
        <v>8807.36</v>
      </c>
      <c r="R351" s="6" t="str">
        <f t="shared" si="28"/>
        <v>High Sale</v>
      </c>
      <c r="S351" s="6" t="str" cm="1">
        <f t="array" ref="S351">_xlfn.IFS(L351&gt;5,"High",L351=5,"Medium",L351&lt;5,"Low")</f>
        <v>Medium</v>
      </c>
      <c r="T351" s="6" t="str">
        <f t="shared" si="29"/>
        <v>Medium</v>
      </c>
    </row>
    <row r="352" spans="1:20" x14ac:dyDescent="0.25">
      <c r="A352" s="6">
        <v>10464</v>
      </c>
      <c r="B352" s="6">
        <v>1511</v>
      </c>
      <c r="C352" s="11">
        <v>45174</v>
      </c>
      <c r="D352" s="11">
        <v>45176</v>
      </c>
      <c r="E352" s="6" t="s">
        <v>109</v>
      </c>
      <c r="F352" s="6" t="s">
        <v>86</v>
      </c>
      <c r="G352" s="6" t="s">
        <v>93</v>
      </c>
      <c r="H352" s="6" t="s">
        <v>105</v>
      </c>
      <c r="I352" s="6" t="s">
        <v>94</v>
      </c>
      <c r="J352" s="6" t="s">
        <v>128</v>
      </c>
      <c r="K352" s="6" t="s">
        <v>110</v>
      </c>
      <c r="L352" s="6">
        <v>1</v>
      </c>
      <c r="M352" s="6">
        <v>559.4</v>
      </c>
      <c r="N352" s="13">
        <f t="shared" si="25"/>
        <v>559.4</v>
      </c>
      <c r="O352" s="6">
        <v>20</v>
      </c>
      <c r="P352" s="6">
        <f t="shared" si="26"/>
        <v>111.88</v>
      </c>
      <c r="Q352" s="6">
        <f t="shared" si="27"/>
        <v>447.52</v>
      </c>
      <c r="R352" s="6" t="str">
        <f t="shared" si="28"/>
        <v>Low Sale</v>
      </c>
      <c r="S352" s="6" t="str" cm="1">
        <f t="array" ref="S352">_xlfn.IFS(L352&gt;5,"High",L352=5,"Medium",L352&lt;5,"Low")</f>
        <v>Low</v>
      </c>
      <c r="T352" s="6" t="str">
        <f t="shared" si="29"/>
        <v>Low</v>
      </c>
    </row>
    <row r="353" spans="1:20" x14ac:dyDescent="0.25">
      <c r="A353" s="6">
        <v>10465</v>
      </c>
      <c r="B353" s="6">
        <v>1016</v>
      </c>
      <c r="C353" s="11">
        <v>45082</v>
      </c>
      <c r="D353" s="11">
        <v>45089</v>
      </c>
      <c r="E353" s="6" t="s">
        <v>100</v>
      </c>
      <c r="F353" s="6" t="s">
        <v>86</v>
      </c>
      <c r="G353" s="6" t="s">
        <v>93</v>
      </c>
      <c r="H353" s="6" t="s">
        <v>107</v>
      </c>
      <c r="I353" s="6" t="s">
        <v>82</v>
      </c>
      <c r="J353" s="6" t="s">
        <v>106</v>
      </c>
      <c r="K353" s="6" t="s">
        <v>96</v>
      </c>
      <c r="L353" s="6">
        <v>4</v>
      </c>
      <c r="M353" s="6">
        <v>589.44000000000005</v>
      </c>
      <c r="N353" s="13">
        <f t="shared" si="25"/>
        <v>2357.7600000000002</v>
      </c>
      <c r="O353" s="6">
        <v>20</v>
      </c>
      <c r="P353" s="6">
        <f t="shared" si="26"/>
        <v>471.55200000000008</v>
      </c>
      <c r="Q353" s="6">
        <f t="shared" si="27"/>
        <v>1886.2080000000001</v>
      </c>
      <c r="R353" s="6" t="str">
        <f t="shared" si="28"/>
        <v>Low Sale</v>
      </c>
      <c r="S353" s="6" t="str" cm="1">
        <f t="array" ref="S353">_xlfn.IFS(L353&gt;5,"High",L353=5,"Medium",L353&lt;5,"Low")</f>
        <v>Low</v>
      </c>
      <c r="T353" s="6" t="str">
        <f t="shared" si="29"/>
        <v>Low</v>
      </c>
    </row>
    <row r="354" spans="1:20" x14ac:dyDescent="0.25">
      <c r="A354" s="6">
        <v>10466</v>
      </c>
      <c r="B354" s="6">
        <v>1171</v>
      </c>
      <c r="C354" s="11">
        <v>44973</v>
      </c>
      <c r="D354" s="11">
        <v>44975</v>
      </c>
      <c r="E354" s="6" t="s">
        <v>79</v>
      </c>
      <c r="F354" s="6" t="s">
        <v>104</v>
      </c>
      <c r="G354" s="6" t="s">
        <v>93</v>
      </c>
      <c r="H354" s="6" t="s">
        <v>98</v>
      </c>
      <c r="I354" s="6" t="s">
        <v>82</v>
      </c>
      <c r="J354" s="6" t="s">
        <v>106</v>
      </c>
      <c r="K354" s="6" t="s">
        <v>91</v>
      </c>
      <c r="L354" s="6">
        <v>6</v>
      </c>
      <c r="M354" s="6">
        <v>3773.04</v>
      </c>
      <c r="N354" s="13">
        <f t="shared" si="25"/>
        <v>22638.239999999998</v>
      </c>
      <c r="O354" s="6">
        <v>0</v>
      </c>
      <c r="P354" s="6">
        <f t="shared" si="26"/>
        <v>0</v>
      </c>
      <c r="Q354" s="6">
        <f t="shared" si="27"/>
        <v>22638.239999999998</v>
      </c>
      <c r="R354" s="6" t="str">
        <f t="shared" si="28"/>
        <v>High Sale</v>
      </c>
      <c r="S354" s="6" t="str" cm="1">
        <f t="array" ref="S354">_xlfn.IFS(L354&gt;5,"High",L354=5,"Medium",L354&lt;5,"Low")</f>
        <v>High</v>
      </c>
      <c r="T354" s="6" t="str">
        <f t="shared" si="29"/>
        <v>High</v>
      </c>
    </row>
    <row r="355" spans="1:20" x14ac:dyDescent="0.25">
      <c r="A355" s="6">
        <v>10468</v>
      </c>
      <c r="B355" s="6">
        <v>1157</v>
      </c>
      <c r="C355" s="11">
        <v>45074</v>
      </c>
      <c r="D355" s="11">
        <v>45082</v>
      </c>
      <c r="E355" s="6" t="s">
        <v>85</v>
      </c>
      <c r="F355" s="6" t="s">
        <v>79</v>
      </c>
      <c r="G355" s="6" t="s">
        <v>80</v>
      </c>
      <c r="H355" s="6" t="s">
        <v>81</v>
      </c>
      <c r="I355" s="6" t="s">
        <v>120</v>
      </c>
      <c r="J355" s="6" t="s">
        <v>122</v>
      </c>
      <c r="K355" s="6" t="s">
        <v>108</v>
      </c>
      <c r="L355" s="6">
        <v>9</v>
      </c>
      <c r="M355" s="6">
        <v>1890.53</v>
      </c>
      <c r="N355" s="13">
        <f t="shared" si="25"/>
        <v>17014.77</v>
      </c>
      <c r="O355" s="6">
        <v>15</v>
      </c>
      <c r="P355" s="6">
        <f t="shared" si="26"/>
        <v>2552.2154999999998</v>
      </c>
      <c r="Q355" s="6">
        <f t="shared" si="27"/>
        <v>14462.5545</v>
      </c>
      <c r="R355" s="6" t="str">
        <f t="shared" si="28"/>
        <v>High Sale</v>
      </c>
      <c r="S355" s="6" t="str" cm="1">
        <f t="array" ref="S355">_xlfn.IFS(L355&gt;5,"High",L355=5,"Medium",L355&lt;5,"Low")</f>
        <v>High</v>
      </c>
      <c r="T355" s="6" t="str">
        <f t="shared" si="29"/>
        <v>High</v>
      </c>
    </row>
    <row r="356" spans="1:20" x14ac:dyDescent="0.25">
      <c r="A356" s="6">
        <v>10470</v>
      </c>
      <c r="B356" s="6">
        <v>1045</v>
      </c>
      <c r="C356" s="11">
        <v>44927</v>
      </c>
      <c r="D356" s="11">
        <v>44936</v>
      </c>
      <c r="E356" s="6" t="s">
        <v>97</v>
      </c>
      <c r="F356" s="6" t="s">
        <v>92</v>
      </c>
      <c r="G356" s="6" t="s">
        <v>93</v>
      </c>
      <c r="H356" s="6" t="s">
        <v>81</v>
      </c>
      <c r="I356" s="6" t="s">
        <v>89</v>
      </c>
      <c r="J356" s="6" t="s">
        <v>99</v>
      </c>
      <c r="K356" s="6" t="s">
        <v>91</v>
      </c>
      <c r="L356" s="6">
        <v>8</v>
      </c>
      <c r="M356" s="6">
        <v>150.72</v>
      </c>
      <c r="N356" s="13">
        <f t="shared" si="25"/>
        <v>1205.76</v>
      </c>
      <c r="O356" s="6">
        <v>5</v>
      </c>
      <c r="P356" s="6">
        <f t="shared" si="26"/>
        <v>60.288000000000004</v>
      </c>
      <c r="Q356" s="6">
        <f t="shared" si="27"/>
        <v>1145.472</v>
      </c>
      <c r="R356" s="6" t="str">
        <f t="shared" si="28"/>
        <v>High Sale</v>
      </c>
      <c r="S356" s="6" t="str" cm="1">
        <f t="array" ref="S356">_xlfn.IFS(L356&gt;5,"High",L356=5,"Medium",L356&lt;5,"Low")</f>
        <v>High</v>
      </c>
      <c r="T356" s="6" t="str">
        <f t="shared" si="29"/>
        <v>High</v>
      </c>
    </row>
    <row r="357" spans="1:20" x14ac:dyDescent="0.25">
      <c r="A357" s="6">
        <v>10472</v>
      </c>
      <c r="B357" s="6">
        <v>1517</v>
      </c>
      <c r="C357" s="11">
        <v>45269</v>
      </c>
      <c r="D357" s="11">
        <v>45278</v>
      </c>
      <c r="E357" s="6" t="s">
        <v>78</v>
      </c>
      <c r="F357" s="6" t="s">
        <v>117</v>
      </c>
      <c r="G357" s="6" t="s">
        <v>93</v>
      </c>
      <c r="H357" s="6" t="s">
        <v>98</v>
      </c>
      <c r="I357" s="6" t="s">
        <v>94</v>
      </c>
      <c r="J357" s="6" t="s">
        <v>111</v>
      </c>
      <c r="K357" s="6" t="s">
        <v>91</v>
      </c>
      <c r="L357" s="6">
        <v>5</v>
      </c>
      <c r="M357" s="6">
        <v>2523.25</v>
      </c>
      <c r="N357" s="13">
        <f t="shared" si="25"/>
        <v>12616.25</v>
      </c>
      <c r="O357" s="6">
        <v>10</v>
      </c>
      <c r="P357" s="6">
        <f t="shared" si="26"/>
        <v>1261.625</v>
      </c>
      <c r="Q357" s="6">
        <f t="shared" si="27"/>
        <v>11354.625</v>
      </c>
      <c r="R357" s="6" t="str">
        <f t="shared" si="28"/>
        <v>High Sale</v>
      </c>
      <c r="S357" s="6" t="str" cm="1">
        <f t="array" ref="S357">_xlfn.IFS(L357&gt;5,"High",L357=5,"Medium",L357&lt;5,"Low")</f>
        <v>Medium</v>
      </c>
      <c r="T357" s="6" t="str">
        <f t="shared" si="29"/>
        <v>Medium</v>
      </c>
    </row>
    <row r="358" spans="1:20" x14ac:dyDescent="0.25">
      <c r="A358" s="6">
        <v>10480</v>
      </c>
      <c r="B358" s="6">
        <v>1301</v>
      </c>
      <c r="C358" s="11">
        <v>45117</v>
      </c>
      <c r="D358" s="11">
        <v>45119</v>
      </c>
      <c r="E358" s="6" t="s">
        <v>79</v>
      </c>
      <c r="F358" s="6" t="s">
        <v>92</v>
      </c>
      <c r="G358" s="6" t="s">
        <v>80</v>
      </c>
      <c r="H358" s="6" t="s">
        <v>107</v>
      </c>
      <c r="I358" s="6" t="s">
        <v>89</v>
      </c>
      <c r="J358" s="6" t="s">
        <v>99</v>
      </c>
      <c r="K358" s="6" t="s">
        <v>110</v>
      </c>
      <c r="L358" s="6">
        <v>6</v>
      </c>
      <c r="M358" s="6">
        <v>845</v>
      </c>
      <c r="N358" s="13">
        <f t="shared" si="25"/>
        <v>5070</v>
      </c>
      <c r="O358" s="6">
        <v>15</v>
      </c>
      <c r="P358" s="6">
        <f t="shared" si="26"/>
        <v>760.5</v>
      </c>
      <c r="Q358" s="6">
        <f t="shared" si="27"/>
        <v>4309.5</v>
      </c>
      <c r="R358" s="6" t="str">
        <f t="shared" si="28"/>
        <v>High Sale</v>
      </c>
      <c r="S358" s="6" t="str" cm="1">
        <f t="array" ref="S358">_xlfn.IFS(L358&gt;5,"High",L358=5,"Medium",L358&lt;5,"Low")</f>
        <v>High</v>
      </c>
      <c r="T358" s="6" t="str">
        <f t="shared" si="29"/>
        <v>High</v>
      </c>
    </row>
    <row r="359" spans="1:20" x14ac:dyDescent="0.25">
      <c r="A359" s="6">
        <v>10481</v>
      </c>
      <c r="B359" s="6">
        <v>1180</v>
      </c>
      <c r="C359" s="11">
        <v>44947</v>
      </c>
      <c r="D359" s="11">
        <v>44955</v>
      </c>
      <c r="E359" s="6" t="s">
        <v>97</v>
      </c>
      <c r="F359" s="6" t="s">
        <v>104</v>
      </c>
      <c r="G359" s="6" t="s">
        <v>80</v>
      </c>
      <c r="H359" s="6" t="s">
        <v>107</v>
      </c>
      <c r="I359" s="6" t="s">
        <v>112</v>
      </c>
      <c r="J359" s="6" t="s">
        <v>113</v>
      </c>
      <c r="K359" s="6" t="s">
        <v>110</v>
      </c>
      <c r="L359" s="6">
        <v>8</v>
      </c>
      <c r="M359" s="6">
        <v>1160.51</v>
      </c>
      <c r="N359" s="13">
        <f t="shared" si="25"/>
        <v>9284.08</v>
      </c>
      <c r="O359" s="6">
        <v>0</v>
      </c>
      <c r="P359" s="6">
        <f t="shared" si="26"/>
        <v>0</v>
      </c>
      <c r="Q359" s="6">
        <f t="shared" si="27"/>
        <v>9284.08</v>
      </c>
      <c r="R359" s="6" t="str">
        <f t="shared" si="28"/>
        <v>High Sale</v>
      </c>
      <c r="S359" s="6" t="str" cm="1">
        <f t="array" ref="S359">_xlfn.IFS(L359&gt;5,"High",L359=5,"Medium",L359&lt;5,"Low")</f>
        <v>High</v>
      </c>
      <c r="T359" s="6" t="str">
        <f t="shared" si="29"/>
        <v>High</v>
      </c>
    </row>
    <row r="360" spans="1:20" x14ac:dyDescent="0.25">
      <c r="A360" s="6">
        <v>10482</v>
      </c>
      <c r="B360" s="6">
        <v>1606</v>
      </c>
      <c r="C360" s="11">
        <v>45153</v>
      </c>
      <c r="D360" s="11">
        <v>45162</v>
      </c>
      <c r="E360" s="6" t="s">
        <v>97</v>
      </c>
      <c r="F360" s="6" t="s">
        <v>117</v>
      </c>
      <c r="G360" s="6" t="s">
        <v>87</v>
      </c>
      <c r="H360" s="6" t="s">
        <v>88</v>
      </c>
      <c r="I360" s="6" t="s">
        <v>120</v>
      </c>
      <c r="J360" s="6" t="s">
        <v>129</v>
      </c>
      <c r="K360" s="6" t="s">
        <v>96</v>
      </c>
      <c r="L360" s="6">
        <v>7</v>
      </c>
      <c r="M360" s="6">
        <v>2172.2399999999998</v>
      </c>
      <c r="N360" s="13">
        <f t="shared" si="25"/>
        <v>15205.679999999998</v>
      </c>
      <c r="O360" s="6">
        <v>20</v>
      </c>
      <c r="P360" s="6">
        <f t="shared" si="26"/>
        <v>3041.136</v>
      </c>
      <c r="Q360" s="6">
        <f t="shared" si="27"/>
        <v>12164.543999999998</v>
      </c>
      <c r="R360" s="6" t="str">
        <f t="shared" si="28"/>
        <v>High Sale</v>
      </c>
      <c r="S360" s="6" t="str" cm="1">
        <f t="array" ref="S360">_xlfn.IFS(L360&gt;5,"High",L360=5,"Medium",L360&lt;5,"Low")</f>
        <v>High</v>
      </c>
      <c r="T360" s="6" t="str">
        <f t="shared" si="29"/>
        <v>High</v>
      </c>
    </row>
    <row r="361" spans="1:20" x14ac:dyDescent="0.25">
      <c r="A361" s="6">
        <v>10485</v>
      </c>
      <c r="B361" s="6">
        <v>1992</v>
      </c>
      <c r="C361" s="11">
        <v>45228</v>
      </c>
      <c r="D361" s="11">
        <v>45237</v>
      </c>
      <c r="E361" s="6" t="s">
        <v>79</v>
      </c>
      <c r="F361" s="6" t="s">
        <v>79</v>
      </c>
      <c r="G361" s="6" t="s">
        <v>80</v>
      </c>
      <c r="H361" s="6" t="s">
        <v>105</v>
      </c>
      <c r="I361" s="6" t="s">
        <v>82</v>
      </c>
      <c r="J361" s="6" t="s">
        <v>106</v>
      </c>
      <c r="K361" s="6" t="s">
        <v>108</v>
      </c>
      <c r="L361" s="6">
        <v>2</v>
      </c>
      <c r="M361" s="6">
        <v>1294.8399999999999</v>
      </c>
      <c r="N361" s="13">
        <f t="shared" si="25"/>
        <v>2589.6799999999998</v>
      </c>
      <c r="O361" s="6">
        <v>15</v>
      </c>
      <c r="P361" s="6">
        <f t="shared" si="26"/>
        <v>388.45199999999994</v>
      </c>
      <c r="Q361" s="6">
        <f t="shared" si="27"/>
        <v>2201.2280000000001</v>
      </c>
      <c r="R361" s="6" t="str">
        <f t="shared" si="28"/>
        <v>Low Sale</v>
      </c>
      <c r="S361" s="6" t="str" cm="1">
        <f t="array" ref="S361">_xlfn.IFS(L361&gt;5,"High",L361=5,"Medium",L361&lt;5,"Low")</f>
        <v>Low</v>
      </c>
      <c r="T361" s="6" t="str">
        <f t="shared" si="29"/>
        <v>Low</v>
      </c>
    </row>
    <row r="362" spans="1:20" x14ac:dyDescent="0.25">
      <c r="A362" s="6">
        <v>10486</v>
      </c>
      <c r="B362" s="6">
        <v>1115</v>
      </c>
      <c r="C362" s="11">
        <v>45068</v>
      </c>
      <c r="D362" s="11">
        <v>45077</v>
      </c>
      <c r="E362" s="6" t="s">
        <v>79</v>
      </c>
      <c r="F362" s="6" t="s">
        <v>104</v>
      </c>
      <c r="G362" s="6" t="s">
        <v>87</v>
      </c>
      <c r="H362" s="6" t="s">
        <v>105</v>
      </c>
      <c r="I362" s="6" t="s">
        <v>112</v>
      </c>
      <c r="J362" s="6" t="s">
        <v>126</v>
      </c>
      <c r="K362" s="6" t="s">
        <v>96</v>
      </c>
      <c r="L362" s="6">
        <v>9</v>
      </c>
      <c r="M362" s="6">
        <v>775.77</v>
      </c>
      <c r="N362" s="13">
        <f t="shared" si="25"/>
        <v>6981.93</v>
      </c>
      <c r="O362" s="6">
        <v>0</v>
      </c>
      <c r="P362" s="6">
        <f t="shared" si="26"/>
        <v>0</v>
      </c>
      <c r="Q362" s="6">
        <f t="shared" si="27"/>
        <v>6981.93</v>
      </c>
      <c r="R362" s="6" t="str">
        <f t="shared" si="28"/>
        <v>High Sale</v>
      </c>
      <c r="S362" s="6" t="str" cm="1">
        <f t="array" ref="S362">_xlfn.IFS(L362&gt;5,"High",L362=5,"Medium",L362&lt;5,"Low")</f>
        <v>High</v>
      </c>
      <c r="T362" s="6" t="str">
        <f t="shared" si="29"/>
        <v>High</v>
      </c>
    </row>
    <row r="363" spans="1:20" x14ac:dyDescent="0.25">
      <c r="A363" s="6">
        <v>10487</v>
      </c>
      <c r="B363" s="6">
        <v>1190</v>
      </c>
      <c r="C363" s="11">
        <v>44965</v>
      </c>
      <c r="D363" s="11">
        <v>44966</v>
      </c>
      <c r="E363" s="6" t="s">
        <v>103</v>
      </c>
      <c r="F363" s="6" t="s">
        <v>79</v>
      </c>
      <c r="G363" s="6" t="s">
        <v>93</v>
      </c>
      <c r="H363" s="6" t="s">
        <v>88</v>
      </c>
      <c r="I363" s="6" t="s">
        <v>115</v>
      </c>
      <c r="J363" s="6" t="s">
        <v>116</v>
      </c>
      <c r="K363" s="6" t="s">
        <v>84</v>
      </c>
      <c r="L363" s="6">
        <v>4</v>
      </c>
      <c r="M363" s="6">
        <v>2751.14</v>
      </c>
      <c r="N363" s="13">
        <f t="shared" si="25"/>
        <v>11004.56</v>
      </c>
      <c r="O363" s="6">
        <v>20</v>
      </c>
      <c r="P363" s="6">
        <f t="shared" si="26"/>
        <v>2200.9119999999998</v>
      </c>
      <c r="Q363" s="6">
        <f t="shared" si="27"/>
        <v>8803.6479999999992</v>
      </c>
      <c r="R363" s="6" t="str">
        <f t="shared" si="28"/>
        <v>Low Sale</v>
      </c>
      <c r="S363" s="6" t="str" cm="1">
        <f t="array" ref="S363">_xlfn.IFS(L363&gt;5,"High",L363=5,"Medium",L363&lt;5,"Low")</f>
        <v>Low</v>
      </c>
      <c r="T363" s="6" t="str">
        <f t="shared" si="29"/>
        <v>Low</v>
      </c>
    </row>
    <row r="364" spans="1:20" x14ac:dyDescent="0.25">
      <c r="A364" s="6">
        <v>10489</v>
      </c>
      <c r="B364" s="6">
        <v>1980</v>
      </c>
      <c r="C364" s="11">
        <v>45178</v>
      </c>
      <c r="D364" s="11">
        <v>45187</v>
      </c>
      <c r="E364" s="6" t="s">
        <v>97</v>
      </c>
      <c r="F364" s="6" t="s">
        <v>86</v>
      </c>
      <c r="G364" s="6" t="s">
        <v>87</v>
      </c>
      <c r="H364" s="6" t="s">
        <v>81</v>
      </c>
      <c r="I364" s="6" t="s">
        <v>120</v>
      </c>
      <c r="J364" s="6" t="s">
        <v>125</v>
      </c>
      <c r="K364" s="6" t="s">
        <v>96</v>
      </c>
      <c r="L364" s="6">
        <v>8</v>
      </c>
      <c r="M364" s="6">
        <v>2536.88</v>
      </c>
      <c r="N364" s="13">
        <f t="shared" si="25"/>
        <v>20295.04</v>
      </c>
      <c r="O364" s="6">
        <v>5</v>
      </c>
      <c r="P364" s="6">
        <f t="shared" si="26"/>
        <v>1014.7520000000001</v>
      </c>
      <c r="Q364" s="6">
        <f t="shared" si="27"/>
        <v>19280.288</v>
      </c>
      <c r="R364" s="6" t="str">
        <f t="shared" si="28"/>
        <v>High Sale</v>
      </c>
      <c r="S364" s="6" t="str" cm="1">
        <f t="array" ref="S364">_xlfn.IFS(L364&gt;5,"High",L364=5,"Medium",L364&lt;5,"Low")</f>
        <v>High</v>
      </c>
      <c r="T364" s="6" t="str">
        <f t="shared" si="29"/>
        <v>High</v>
      </c>
    </row>
    <row r="365" spans="1:20" x14ac:dyDescent="0.25">
      <c r="A365" s="6">
        <v>10490</v>
      </c>
      <c r="B365" s="6">
        <v>1927</v>
      </c>
      <c r="C365" s="11">
        <v>45259</v>
      </c>
      <c r="D365" s="11">
        <v>45261</v>
      </c>
      <c r="E365" s="6" t="s">
        <v>78</v>
      </c>
      <c r="F365" s="6" t="s">
        <v>92</v>
      </c>
      <c r="G365" s="6" t="s">
        <v>80</v>
      </c>
      <c r="H365" s="6" t="s">
        <v>98</v>
      </c>
      <c r="I365" s="6" t="s">
        <v>94</v>
      </c>
      <c r="J365" s="6" t="s">
        <v>95</v>
      </c>
      <c r="K365" s="6" t="s">
        <v>108</v>
      </c>
      <c r="L365" s="6">
        <v>7</v>
      </c>
      <c r="M365" s="6">
        <v>2838.06</v>
      </c>
      <c r="N365" s="13">
        <f t="shared" si="25"/>
        <v>19866.419999999998</v>
      </c>
      <c r="O365" s="6">
        <v>20</v>
      </c>
      <c r="P365" s="6">
        <f t="shared" si="26"/>
        <v>3973.2839999999997</v>
      </c>
      <c r="Q365" s="6">
        <f t="shared" si="27"/>
        <v>15893.135999999999</v>
      </c>
      <c r="R365" s="6" t="str">
        <f t="shared" si="28"/>
        <v>High Sale</v>
      </c>
      <c r="S365" s="6" t="str" cm="1">
        <f t="array" ref="S365">_xlfn.IFS(L365&gt;5,"High",L365=5,"Medium",L365&lt;5,"Low")</f>
        <v>High</v>
      </c>
      <c r="T365" s="6" t="str">
        <f t="shared" si="29"/>
        <v>High</v>
      </c>
    </row>
    <row r="366" spans="1:20" x14ac:dyDescent="0.25">
      <c r="A366" s="6">
        <v>10491</v>
      </c>
      <c r="B366" s="6">
        <v>1982</v>
      </c>
      <c r="C366" s="11">
        <v>45133</v>
      </c>
      <c r="D366" s="11">
        <v>45137</v>
      </c>
      <c r="E366" s="6" t="s">
        <v>79</v>
      </c>
      <c r="F366" s="6" t="s">
        <v>92</v>
      </c>
      <c r="G366" s="6" t="s">
        <v>80</v>
      </c>
      <c r="H366" s="6" t="s">
        <v>107</v>
      </c>
      <c r="I366" s="6" t="s">
        <v>112</v>
      </c>
      <c r="J366" s="6" t="s">
        <v>126</v>
      </c>
      <c r="K366" s="6" t="s">
        <v>91</v>
      </c>
      <c r="L366" s="6">
        <v>5</v>
      </c>
      <c r="M366" s="6">
        <v>977.43</v>
      </c>
      <c r="N366" s="13">
        <f t="shared" si="25"/>
        <v>4887.1499999999996</v>
      </c>
      <c r="O366" s="6">
        <v>20</v>
      </c>
      <c r="P366" s="6">
        <f t="shared" si="26"/>
        <v>977.43</v>
      </c>
      <c r="Q366" s="6">
        <f t="shared" si="27"/>
        <v>3909.72</v>
      </c>
      <c r="R366" s="6" t="str">
        <f t="shared" si="28"/>
        <v>High Sale</v>
      </c>
      <c r="S366" s="6" t="str" cm="1">
        <f t="array" ref="S366">_xlfn.IFS(L366&gt;5,"High",L366=5,"Medium",L366&lt;5,"Low")</f>
        <v>Medium</v>
      </c>
      <c r="T366" s="6" t="str">
        <f t="shared" si="29"/>
        <v>Medium</v>
      </c>
    </row>
    <row r="367" spans="1:20" x14ac:dyDescent="0.25">
      <c r="A367" s="6">
        <v>10493</v>
      </c>
      <c r="B367" s="6">
        <v>1255</v>
      </c>
      <c r="C367" s="11">
        <v>45041</v>
      </c>
      <c r="D367" s="11">
        <v>45043</v>
      </c>
      <c r="E367" s="6" t="s">
        <v>103</v>
      </c>
      <c r="F367" s="6" t="s">
        <v>79</v>
      </c>
      <c r="G367" s="6" t="s">
        <v>87</v>
      </c>
      <c r="H367" s="6" t="s">
        <v>107</v>
      </c>
      <c r="I367" s="6" t="s">
        <v>112</v>
      </c>
      <c r="J367" s="6" t="s">
        <v>130</v>
      </c>
      <c r="K367" s="6" t="s">
        <v>91</v>
      </c>
      <c r="L367" s="6">
        <v>7</v>
      </c>
      <c r="M367" s="6">
        <v>1550.03</v>
      </c>
      <c r="N367" s="13">
        <f t="shared" si="25"/>
        <v>10850.21</v>
      </c>
      <c r="O367" s="6">
        <v>10</v>
      </c>
      <c r="P367" s="6">
        <f t="shared" si="26"/>
        <v>1085.021</v>
      </c>
      <c r="Q367" s="6">
        <f t="shared" si="27"/>
        <v>9765.1889999999985</v>
      </c>
      <c r="R367" s="6" t="str">
        <f t="shared" si="28"/>
        <v>High Sale</v>
      </c>
      <c r="S367" s="6" t="str" cm="1">
        <f t="array" ref="S367">_xlfn.IFS(L367&gt;5,"High",L367=5,"Medium",L367&lt;5,"Low")</f>
        <v>High</v>
      </c>
      <c r="T367" s="6" t="str">
        <f t="shared" si="29"/>
        <v>High</v>
      </c>
    </row>
    <row r="368" spans="1:20" x14ac:dyDescent="0.25">
      <c r="A368" s="6">
        <v>10494</v>
      </c>
      <c r="B368" s="6">
        <v>1322</v>
      </c>
      <c r="C368" s="11">
        <v>45151</v>
      </c>
      <c r="D368" s="11">
        <v>45154</v>
      </c>
      <c r="E368" s="6" t="s">
        <v>100</v>
      </c>
      <c r="F368" s="6" t="s">
        <v>104</v>
      </c>
      <c r="G368" s="6" t="s">
        <v>80</v>
      </c>
      <c r="H368" s="6" t="s">
        <v>107</v>
      </c>
      <c r="I368" s="6" t="s">
        <v>120</v>
      </c>
      <c r="J368" s="6" t="s">
        <v>129</v>
      </c>
      <c r="K368" s="6" t="s">
        <v>108</v>
      </c>
      <c r="L368" s="6">
        <v>5</v>
      </c>
      <c r="M368" s="6">
        <v>529.59</v>
      </c>
      <c r="N368" s="13">
        <f t="shared" si="25"/>
        <v>2647.9500000000003</v>
      </c>
      <c r="O368" s="6">
        <v>5</v>
      </c>
      <c r="P368" s="6">
        <f t="shared" si="26"/>
        <v>132.39750000000001</v>
      </c>
      <c r="Q368" s="6">
        <f t="shared" si="27"/>
        <v>2515.5525000000002</v>
      </c>
      <c r="R368" s="6" t="str">
        <f t="shared" si="28"/>
        <v>High Sale</v>
      </c>
      <c r="S368" s="6" t="str" cm="1">
        <f t="array" ref="S368">_xlfn.IFS(L368&gt;5,"High",L368=5,"Medium",L368&lt;5,"Low")</f>
        <v>Medium</v>
      </c>
      <c r="T368" s="6" t="str">
        <f t="shared" si="29"/>
        <v>Medium</v>
      </c>
    </row>
    <row r="369" spans="1:20" x14ac:dyDescent="0.25">
      <c r="A369" s="6">
        <v>10495</v>
      </c>
      <c r="B369" s="6">
        <v>1127</v>
      </c>
      <c r="C369" s="11">
        <v>45060</v>
      </c>
      <c r="D369" s="11">
        <v>45063</v>
      </c>
      <c r="E369" s="6" t="s">
        <v>78</v>
      </c>
      <c r="F369" s="6" t="s">
        <v>86</v>
      </c>
      <c r="G369" s="6" t="s">
        <v>93</v>
      </c>
      <c r="H369" s="6" t="s">
        <v>88</v>
      </c>
      <c r="I369" s="6" t="s">
        <v>120</v>
      </c>
      <c r="J369" s="6" t="s">
        <v>122</v>
      </c>
      <c r="K369" s="6" t="s">
        <v>108</v>
      </c>
      <c r="L369" s="6">
        <v>8</v>
      </c>
      <c r="M369" s="6">
        <v>598.44000000000005</v>
      </c>
      <c r="N369" s="13">
        <f t="shared" si="25"/>
        <v>4787.5200000000004</v>
      </c>
      <c r="O369" s="6">
        <v>0</v>
      </c>
      <c r="P369" s="6">
        <f t="shared" si="26"/>
        <v>0</v>
      </c>
      <c r="Q369" s="6">
        <f t="shared" si="27"/>
        <v>4787.5200000000004</v>
      </c>
      <c r="R369" s="6" t="str">
        <f t="shared" si="28"/>
        <v>High Sale</v>
      </c>
      <c r="S369" s="6" t="str" cm="1">
        <f t="array" ref="S369">_xlfn.IFS(L369&gt;5,"High",L369=5,"Medium",L369&lt;5,"Low")</f>
        <v>High</v>
      </c>
      <c r="T369" s="6" t="str">
        <f t="shared" si="29"/>
        <v>High</v>
      </c>
    </row>
    <row r="370" spans="1:20" x14ac:dyDescent="0.25">
      <c r="A370" s="6">
        <v>10496</v>
      </c>
      <c r="B370" s="6">
        <v>1017</v>
      </c>
      <c r="C370" s="11">
        <v>45177</v>
      </c>
      <c r="D370" s="11">
        <v>45178</v>
      </c>
      <c r="E370" s="6" t="s">
        <v>78</v>
      </c>
      <c r="F370" s="6" t="s">
        <v>86</v>
      </c>
      <c r="G370" s="6" t="s">
        <v>80</v>
      </c>
      <c r="H370" s="6" t="s">
        <v>105</v>
      </c>
      <c r="I370" s="6" t="s">
        <v>115</v>
      </c>
      <c r="J370" s="6" t="s">
        <v>123</v>
      </c>
      <c r="K370" s="6" t="s">
        <v>108</v>
      </c>
      <c r="L370" s="6">
        <v>6</v>
      </c>
      <c r="M370" s="6">
        <v>1128.9100000000001</v>
      </c>
      <c r="N370" s="13">
        <f t="shared" si="25"/>
        <v>6773.4600000000009</v>
      </c>
      <c r="O370" s="6">
        <v>20</v>
      </c>
      <c r="P370" s="6">
        <f t="shared" si="26"/>
        <v>1354.6920000000002</v>
      </c>
      <c r="Q370" s="6">
        <f t="shared" si="27"/>
        <v>5418.7680000000009</v>
      </c>
      <c r="R370" s="6" t="str">
        <f t="shared" si="28"/>
        <v>High Sale</v>
      </c>
      <c r="S370" s="6" t="str" cm="1">
        <f t="array" ref="S370">_xlfn.IFS(L370&gt;5,"High",L370=5,"Medium",L370&lt;5,"Low")</f>
        <v>High</v>
      </c>
      <c r="T370" s="6" t="str">
        <f t="shared" si="29"/>
        <v>High</v>
      </c>
    </row>
    <row r="371" spans="1:20" x14ac:dyDescent="0.25">
      <c r="A371" s="6">
        <v>10497</v>
      </c>
      <c r="B371" s="6">
        <v>1792</v>
      </c>
      <c r="C371" s="11">
        <v>45145</v>
      </c>
      <c r="D371" s="11">
        <v>45151</v>
      </c>
      <c r="E371" s="6" t="s">
        <v>79</v>
      </c>
      <c r="F371" s="6" t="s">
        <v>92</v>
      </c>
      <c r="G371" s="6" t="s">
        <v>87</v>
      </c>
      <c r="H371" s="6" t="s">
        <v>105</v>
      </c>
      <c r="I371" s="6" t="s">
        <v>94</v>
      </c>
      <c r="J371" s="6" t="s">
        <v>102</v>
      </c>
      <c r="K371" s="6" t="s">
        <v>84</v>
      </c>
      <c r="L371" s="6">
        <v>5</v>
      </c>
      <c r="M371" s="6">
        <v>1287.55</v>
      </c>
      <c r="N371" s="13">
        <f t="shared" si="25"/>
        <v>6437.75</v>
      </c>
      <c r="O371" s="6">
        <v>0</v>
      </c>
      <c r="P371" s="6">
        <f t="shared" si="26"/>
        <v>0</v>
      </c>
      <c r="Q371" s="6">
        <f t="shared" si="27"/>
        <v>6437.75</v>
      </c>
      <c r="R371" s="6" t="str">
        <f t="shared" si="28"/>
        <v>High Sale</v>
      </c>
      <c r="S371" s="6" t="str" cm="1">
        <f t="array" ref="S371">_xlfn.IFS(L371&gt;5,"High",L371=5,"Medium",L371&lt;5,"Low")</f>
        <v>Medium</v>
      </c>
      <c r="T371" s="6" t="str">
        <f t="shared" si="29"/>
        <v>Medium</v>
      </c>
    </row>
    <row r="372" spans="1:20" x14ac:dyDescent="0.25">
      <c r="A372" s="6">
        <v>10498</v>
      </c>
      <c r="B372" s="6">
        <v>1734</v>
      </c>
      <c r="C372" s="11">
        <v>45017</v>
      </c>
      <c r="D372" s="11">
        <v>45025</v>
      </c>
      <c r="E372" s="6" t="s">
        <v>109</v>
      </c>
      <c r="F372" s="6" t="s">
        <v>79</v>
      </c>
      <c r="G372" s="6" t="s">
        <v>93</v>
      </c>
      <c r="H372" s="6" t="s">
        <v>81</v>
      </c>
      <c r="I372" s="6" t="s">
        <v>89</v>
      </c>
      <c r="J372" s="6" t="s">
        <v>99</v>
      </c>
      <c r="K372" s="6" t="s">
        <v>91</v>
      </c>
      <c r="L372" s="6">
        <v>9</v>
      </c>
      <c r="M372" s="6">
        <v>2190.39</v>
      </c>
      <c r="N372" s="13">
        <f t="shared" si="25"/>
        <v>19713.509999999998</v>
      </c>
      <c r="O372" s="6">
        <v>20</v>
      </c>
      <c r="P372" s="6">
        <f t="shared" si="26"/>
        <v>3942.7019999999998</v>
      </c>
      <c r="Q372" s="6">
        <f t="shared" si="27"/>
        <v>15770.807999999999</v>
      </c>
      <c r="R372" s="6" t="str">
        <f t="shared" si="28"/>
        <v>High Sale</v>
      </c>
      <c r="S372" s="6" t="str" cm="1">
        <f t="array" ref="S372">_xlfn.IFS(L372&gt;5,"High",L372=5,"Medium",L372&lt;5,"Low")</f>
        <v>High</v>
      </c>
      <c r="T372" s="6" t="str">
        <f t="shared" si="29"/>
        <v>High</v>
      </c>
    </row>
    <row r="373" spans="1:20" x14ac:dyDescent="0.25">
      <c r="A373" s="6">
        <v>10500</v>
      </c>
      <c r="B373" s="6">
        <v>1569</v>
      </c>
      <c r="C373" s="11">
        <v>44972</v>
      </c>
      <c r="D373" s="11">
        <v>44977</v>
      </c>
      <c r="E373" s="6" t="s">
        <v>78</v>
      </c>
      <c r="F373" s="6" t="s">
        <v>79</v>
      </c>
      <c r="G373" s="6" t="s">
        <v>93</v>
      </c>
      <c r="H373" s="6" t="s">
        <v>105</v>
      </c>
      <c r="I373" s="6" t="s">
        <v>94</v>
      </c>
      <c r="J373" s="6" t="s">
        <v>128</v>
      </c>
      <c r="K373" s="6" t="s">
        <v>96</v>
      </c>
      <c r="L373" s="6">
        <v>1</v>
      </c>
      <c r="M373" s="6">
        <v>2432.17</v>
      </c>
      <c r="N373" s="13">
        <f t="shared" si="25"/>
        <v>2432.17</v>
      </c>
      <c r="O373" s="6">
        <v>20</v>
      </c>
      <c r="P373" s="6">
        <f t="shared" si="26"/>
        <v>486.43400000000003</v>
      </c>
      <c r="Q373" s="6">
        <f t="shared" si="27"/>
        <v>1945.7360000000001</v>
      </c>
      <c r="R373" s="6" t="str">
        <f t="shared" si="28"/>
        <v>Low Sale</v>
      </c>
      <c r="S373" s="6" t="str" cm="1">
        <f t="array" ref="S373">_xlfn.IFS(L373&gt;5,"High",L373=5,"Medium",L373&lt;5,"Low")</f>
        <v>Low</v>
      </c>
      <c r="T373" s="6" t="str">
        <f t="shared" si="29"/>
        <v>Low</v>
      </c>
    </row>
  </sheetData>
  <dataValidations count="3">
    <dataValidation type="list" allowBlank="1" showInputMessage="1" showErrorMessage="1" sqref="V8 V13 W16 V23 V28 W31" xr:uid="{2E3F123E-8E53-46F9-91F0-6CF5AB067731}">
      <formula1>$AB$3:$AB$7</formula1>
    </dataValidation>
    <dataValidation type="list" allowBlank="1" showInputMessage="1" showErrorMessage="1" sqref="W8" xr:uid="{118B7247-BDF7-4830-B24E-556797FE416D}">
      <formula1>$AC$3:$AC$18</formula1>
    </dataValidation>
    <dataValidation type="list" allowBlank="1" showInputMessage="1" showErrorMessage="1" sqref="V16 V31" xr:uid="{5931C6E7-C8AC-4594-9461-2546D34556CC}">
      <formula1>$AF$3:$AF$8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EB7ED-7DB0-4C80-AEBF-32A289D7E44A}">
  <dimension ref="A1:AC373"/>
  <sheetViews>
    <sheetView topLeftCell="I1" workbookViewId="0">
      <selection activeCell="O14" sqref="O14"/>
    </sheetView>
  </sheetViews>
  <sheetFormatPr defaultRowHeight="15" x14ac:dyDescent="0.25"/>
  <cols>
    <col min="1" max="1" width="10.7109375" bestFit="1" customWidth="1"/>
    <col min="2" max="2" width="14.140625" bestFit="1" customWidth="1"/>
    <col min="3" max="3" width="13" bestFit="1" customWidth="1"/>
    <col min="4" max="4" width="11.7109375" bestFit="1" customWidth="1"/>
    <col min="5" max="5" width="10.5703125" bestFit="1" customWidth="1"/>
    <col min="6" max="6" width="12" bestFit="1" customWidth="1"/>
    <col min="7" max="7" width="15.7109375" bestFit="1" customWidth="1"/>
    <col min="8" max="8" width="18.85546875" bestFit="1" customWidth="1"/>
    <col min="9" max="9" width="18.5703125" bestFit="1" customWidth="1"/>
    <col min="10" max="10" width="16" bestFit="1" customWidth="1"/>
    <col min="11" max="11" width="8.42578125" bestFit="1" customWidth="1"/>
    <col min="12" max="12" width="12.28515625" bestFit="1" customWidth="1"/>
    <col min="13" max="13" width="12" bestFit="1" customWidth="1"/>
    <col min="14" max="14" width="13" bestFit="1" customWidth="1"/>
    <col min="16" max="16" width="8.42578125" bestFit="1" customWidth="1"/>
    <col min="17" max="17" width="16.5703125" bestFit="1" customWidth="1"/>
    <col min="18" max="18" width="10.7109375" bestFit="1" customWidth="1"/>
    <col min="19" max="19" width="10.42578125" bestFit="1" customWidth="1"/>
    <col min="20" max="20" width="8.28515625" bestFit="1" customWidth="1"/>
    <col min="21" max="21" width="12" bestFit="1" customWidth="1"/>
    <col min="22" max="22" width="13.42578125" bestFit="1" customWidth="1"/>
    <col min="23" max="23" width="16.5703125" bestFit="1" customWidth="1"/>
    <col min="24" max="24" width="16.28515625" bestFit="1" customWidth="1"/>
    <col min="25" max="25" width="13.7109375" bestFit="1" customWidth="1"/>
    <col min="26" max="26" width="7.42578125" bestFit="1" customWidth="1"/>
    <col min="27" max="27" width="10" bestFit="1" customWidth="1"/>
    <col min="28" max="28" width="9.7109375" bestFit="1" customWidth="1"/>
    <col min="29" max="29" width="10.7109375" bestFit="1" customWidth="1"/>
  </cols>
  <sheetData>
    <row r="1" spans="1:29" x14ac:dyDescent="0.25">
      <c r="A1" s="7" t="s">
        <v>0</v>
      </c>
      <c r="B1" s="7" t="s">
        <v>65</v>
      </c>
      <c r="C1" s="7" t="s">
        <v>66</v>
      </c>
      <c r="D1" s="7" t="s">
        <v>67</v>
      </c>
      <c r="E1" s="7" t="s">
        <v>68</v>
      </c>
      <c r="F1" s="7" t="s">
        <v>69</v>
      </c>
      <c r="G1" s="7" t="s">
        <v>70</v>
      </c>
      <c r="H1" s="7" t="s">
        <v>71</v>
      </c>
      <c r="I1" s="7" t="s">
        <v>72</v>
      </c>
      <c r="J1" s="7" t="s">
        <v>73</v>
      </c>
      <c r="K1" s="7" t="s">
        <v>74</v>
      </c>
      <c r="L1" s="7" t="s">
        <v>75</v>
      </c>
      <c r="M1" s="7" t="s">
        <v>76</v>
      </c>
      <c r="N1" s="7" t="s">
        <v>77</v>
      </c>
    </row>
    <row r="2" spans="1:29" x14ac:dyDescent="0.25">
      <c r="A2" s="6">
        <v>10026</v>
      </c>
      <c r="B2" s="6">
        <v>1413</v>
      </c>
      <c r="C2" s="11">
        <v>45228</v>
      </c>
      <c r="D2" s="11">
        <v>45231</v>
      </c>
      <c r="E2" s="6" t="s">
        <v>97</v>
      </c>
      <c r="F2" s="6" t="s">
        <v>79</v>
      </c>
      <c r="G2" s="6" t="s">
        <v>93</v>
      </c>
      <c r="H2" s="6" t="s">
        <v>105</v>
      </c>
      <c r="I2" s="6" t="s">
        <v>115</v>
      </c>
      <c r="J2" s="6" t="s">
        <v>123</v>
      </c>
      <c r="K2" s="6" t="s">
        <v>96</v>
      </c>
      <c r="L2" s="6">
        <v>9</v>
      </c>
      <c r="M2" s="6">
        <v>444.29</v>
      </c>
      <c r="N2" s="6">
        <v>5</v>
      </c>
    </row>
    <row r="3" spans="1:29" x14ac:dyDescent="0.25">
      <c r="A3" s="6">
        <v>10454</v>
      </c>
      <c r="B3" s="6">
        <v>1959</v>
      </c>
      <c r="C3" s="11">
        <v>45251</v>
      </c>
      <c r="D3" s="11">
        <v>45255</v>
      </c>
      <c r="E3" s="6" t="s">
        <v>97</v>
      </c>
      <c r="F3" s="6" t="s">
        <v>104</v>
      </c>
      <c r="G3" s="6" t="s">
        <v>80</v>
      </c>
      <c r="H3" s="6" t="s">
        <v>88</v>
      </c>
      <c r="I3" s="6" t="s">
        <v>120</v>
      </c>
      <c r="J3" s="6" t="s">
        <v>121</v>
      </c>
      <c r="K3" s="6" t="s">
        <v>91</v>
      </c>
      <c r="L3" s="6">
        <v>9</v>
      </c>
      <c r="M3" s="6">
        <v>3191.56</v>
      </c>
      <c r="N3" s="6">
        <v>20</v>
      </c>
    </row>
    <row r="4" spans="1:29" x14ac:dyDescent="0.25">
      <c r="A4" s="6">
        <v>10238</v>
      </c>
      <c r="B4" s="6">
        <v>1224</v>
      </c>
      <c r="C4" s="11">
        <v>45089</v>
      </c>
      <c r="D4" s="11">
        <v>45093</v>
      </c>
      <c r="E4" s="6" t="s">
        <v>97</v>
      </c>
      <c r="F4" s="6" t="s">
        <v>101</v>
      </c>
      <c r="G4" s="6" t="s">
        <v>87</v>
      </c>
      <c r="H4" s="6" t="s">
        <v>98</v>
      </c>
      <c r="I4" s="6" t="s">
        <v>120</v>
      </c>
      <c r="J4" s="6" t="s">
        <v>125</v>
      </c>
      <c r="K4" s="6" t="s">
        <v>108</v>
      </c>
      <c r="L4" s="6">
        <v>8</v>
      </c>
      <c r="M4" s="6">
        <v>284.52</v>
      </c>
      <c r="N4" s="6">
        <v>15</v>
      </c>
      <c r="P4" s="7" t="s">
        <v>68</v>
      </c>
      <c r="Q4" s="7" t="s">
        <v>71</v>
      </c>
    </row>
    <row r="5" spans="1:29" x14ac:dyDescent="0.25">
      <c r="A5" s="6">
        <v>10360</v>
      </c>
      <c r="B5" s="6">
        <v>1610</v>
      </c>
      <c r="C5" s="11">
        <v>45123</v>
      </c>
      <c r="D5" s="11">
        <v>45124</v>
      </c>
      <c r="E5" s="6" t="s">
        <v>97</v>
      </c>
      <c r="F5" s="6" t="s">
        <v>104</v>
      </c>
      <c r="G5" s="6" t="s">
        <v>93</v>
      </c>
      <c r="H5" s="6" t="s">
        <v>105</v>
      </c>
      <c r="I5" s="6" t="s">
        <v>94</v>
      </c>
      <c r="J5" s="6" t="s">
        <v>95</v>
      </c>
      <c r="K5" s="6" t="s">
        <v>108</v>
      </c>
      <c r="L5" s="6">
        <v>8</v>
      </c>
      <c r="M5" s="6">
        <v>1392.5</v>
      </c>
      <c r="N5" s="6">
        <v>15</v>
      </c>
      <c r="P5" s="6" t="s">
        <v>78</v>
      </c>
      <c r="Q5" s="6" t="s">
        <v>105</v>
      </c>
    </row>
    <row r="6" spans="1:29" x14ac:dyDescent="0.25">
      <c r="A6" s="6">
        <v>10470</v>
      </c>
      <c r="B6" s="6">
        <v>1045</v>
      </c>
      <c r="C6" s="11">
        <v>44927</v>
      </c>
      <c r="D6" s="11">
        <v>44936</v>
      </c>
      <c r="E6" s="6" t="s">
        <v>97</v>
      </c>
      <c r="F6" s="6" t="s">
        <v>92</v>
      </c>
      <c r="G6" s="6" t="s">
        <v>93</v>
      </c>
      <c r="H6" s="6" t="s">
        <v>81</v>
      </c>
      <c r="I6" s="6" t="s">
        <v>89</v>
      </c>
      <c r="J6" s="6" t="s">
        <v>99</v>
      </c>
      <c r="K6" s="6" t="s">
        <v>91</v>
      </c>
      <c r="L6" s="6">
        <v>8</v>
      </c>
      <c r="M6" s="6">
        <v>150.72</v>
      </c>
      <c r="N6" s="6">
        <v>5</v>
      </c>
    </row>
    <row r="7" spans="1:29" x14ac:dyDescent="0.25">
      <c r="A7" s="6">
        <v>10481</v>
      </c>
      <c r="B7" s="6">
        <v>1180</v>
      </c>
      <c r="C7" s="11">
        <v>44947</v>
      </c>
      <c r="D7" s="11">
        <v>44955</v>
      </c>
      <c r="E7" s="6" t="s">
        <v>97</v>
      </c>
      <c r="F7" s="6" t="s">
        <v>104</v>
      </c>
      <c r="G7" s="6" t="s">
        <v>80</v>
      </c>
      <c r="H7" s="6" t="s">
        <v>107</v>
      </c>
      <c r="I7" s="6" t="s">
        <v>112</v>
      </c>
      <c r="J7" s="6" t="s">
        <v>113</v>
      </c>
      <c r="K7" s="6" t="s">
        <v>110</v>
      </c>
      <c r="L7" s="6">
        <v>8</v>
      </c>
      <c r="M7" s="6">
        <v>1160.51</v>
      </c>
      <c r="N7" s="6">
        <v>0</v>
      </c>
      <c r="P7" s="7" t="s">
        <v>0</v>
      </c>
      <c r="Q7" s="7" t="s">
        <v>65</v>
      </c>
      <c r="R7" s="7" t="s">
        <v>66</v>
      </c>
      <c r="S7" s="7" t="s">
        <v>67</v>
      </c>
      <c r="T7" s="7" t="s">
        <v>68</v>
      </c>
      <c r="U7" s="7" t="s">
        <v>69</v>
      </c>
      <c r="V7" s="7" t="s">
        <v>70</v>
      </c>
      <c r="W7" s="7" t="s">
        <v>71</v>
      </c>
      <c r="X7" s="7" t="s">
        <v>72</v>
      </c>
      <c r="Y7" s="7" t="s">
        <v>73</v>
      </c>
      <c r="Z7" s="7" t="s">
        <v>74</v>
      </c>
      <c r="AA7" s="7" t="s">
        <v>75</v>
      </c>
      <c r="AB7" s="7" t="s">
        <v>76</v>
      </c>
      <c r="AC7" s="7" t="s">
        <v>77</v>
      </c>
    </row>
    <row r="8" spans="1:29" x14ac:dyDescent="0.25">
      <c r="A8" s="6">
        <v>10489</v>
      </c>
      <c r="B8" s="6">
        <v>1980</v>
      </c>
      <c r="C8" s="11">
        <v>45178</v>
      </c>
      <c r="D8" s="11">
        <v>45187</v>
      </c>
      <c r="E8" s="6" t="s">
        <v>97</v>
      </c>
      <c r="F8" s="6" t="s">
        <v>86</v>
      </c>
      <c r="G8" s="6" t="s">
        <v>87</v>
      </c>
      <c r="H8" s="6" t="s">
        <v>81</v>
      </c>
      <c r="I8" s="6" t="s">
        <v>120</v>
      </c>
      <c r="J8" s="6" t="s">
        <v>125</v>
      </c>
      <c r="K8" s="6" t="s">
        <v>96</v>
      </c>
      <c r="L8" s="6">
        <v>8</v>
      </c>
      <c r="M8" s="6">
        <v>2536.88</v>
      </c>
      <c r="N8" s="6">
        <v>5</v>
      </c>
      <c r="P8" s="6">
        <v>10001</v>
      </c>
      <c r="Q8" s="6">
        <v>1102</v>
      </c>
      <c r="R8" s="11">
        <v>45197</v>
      </c>
      <c r="S8" s="11">
        <v>45203</v>
      </c>
      <c r="T8" s="6" t="s">
        <v>78</v>
      </c>
      <c r="U8" s="6" t="s">
        <v>79</v>
      </c>
      <c r="V8" s="6" t="s">
        <v>80</v>
      </c>
      <c r="W8" s="6" t="s">
        <v>81</v>
      </c>
      <c r="X8" s="6" t="s">
        <v>82</v>
      </c>
      <c r="Y8" s="6" t="s">
        <v>83</v>
      </c>
      <c r="Z8" s="6" t="s">
        <v>84</v>
      </c>
      <c r="AA8" s="6">
        <v>7</v>
      </c>
      <c r="AB8" s="6">
        <v>2843.87</v>
      </c>
      <c r="AC8" s="6">
        <v>0</v>
      </c>
    </row>
    <row r="9" spans="1:29" x14ac:dyDescent="0.25">
      <c r="A9" s="6">
        <v>10039</v>
      </c>
      <c r="B9" s="6">
        <v>1560</v>
      </c>
      <c r="C9" s="11">
        <v>44948</v>
      </c>
      <c r="D9" s="11">
        <v>44953</v>
      </c>
      <c r="E9" s="6" t="s">
        <v>97</v>
      </c>
      <c r="F9" s="6" t="s">
        <v>104</v>
      </c>
      <c r="G9" s="6" t="s">
        <v>80</v>
      </c>
      <c r="H9" s="6" t="s">
        <v>81</v>
      </c>
      <c r="I9" s="6" t="s">
        <v>94</v>
      </c>
      <c r="J9" s="6" t="s">
        <v>111</v>
      </c>
      <c r="K9" s="6" t="s">
        <v>108</v>
      </c>
      <c r="L9" s="6">
        <v>7</v>
      </c>
      <c r="M9" s="6">
        <v>2369.42</v>
      </c>
      <c r="N9" s="6">
        <v>15</v>
      </c>
      <c r="P9" s="6">
        <v>10003</v>
      </c>
      <c r="Q9" s="6">
        <v>1860</v>
      </c>
      <c r="R9" s="11">
        <v>45109</v>
      </c>
      <c r="S9" s="11">
        <v>45114</v>
      </c>
      <c r="T9" s="6" t="s">
        <v>78</v>
      </c>
      <c r="U9" s="6" t="s">
        <v>92</v>
      </c>
      <c r="V9" s="6" t="s">
        <v>93</v>
      </c>
      <c r="W9" s="6" t="s">
        <v>88</v>
      </c>
      <c r="X9" s="6" t="s">
        <v>94</v>
      </c>
      <c r="Y9" s="6" t="s">
        <v>95</v>
      </c>
      <c r="Z9" s="6" t="s">
        <v>96</v>
      </c>
      <c r="AA9" s="6">
        <v>6</v>
      </c>
      <c r="AB9" s="6">
        <v>3474.34</v>
      </c>
      <c r="AC9" s="6">
        <v>15</v>
      </c>
    </row>
    <row r="10" spans="1:29" x14ac:dyDescent="0.25">
      <c r="A10" s="6">
        <v>10131</v>
      </c>
      <c r="B10" s="6">
        <v>1014</v>
      </c>
      <c r="C10" s="11">
        <v>45142</v>
      </c>
      <c r="D10" s="11">
        <v>45151</v>
      </c>
      <c r="E10" s="6" t="s">
        <v>97</v>
      </c>
      <c r="F10" s="6" t="s">
        <v>101</v>
      </c>
      <c r="G10" s="6" t="s">
        <v>87</v>
      </c>
      <c r="H10" s="6" t="s">
        <v>107</v>
      </c>
      <c r="I10" s="6" t="s">
        <v>94</v>
      </c>
      <c r="J10" s="6" t="s">
        <v>95</v>
      </c>
      <c r="K10" s="6" t="s">
        <v>84</v>
      </c>
      <c r="L10" s="6">
        <v>7</v>
      </c>
      <c r="M10" s="6">
        <v>1899.45</v>
      </c>
      <c r="N10" s="6">
        <v>15</v>
      </c>
      <c r="P10" s="6">
        <v>10009</v>
      </c>
      <c r="Q10" s="6">
        <v>1614</v>
      </c>
      <c r="R10" s="11">
        <v>45204</v>
      </c>
      <c r="S10" s="11">
        <v>45213</v>
      </c>
      <c r="T10" s="6" t="s">
        <v>78</v>
      </c>
      <c r="U10" s="6" t="s">
        <v>92</v>
      </c>
      <c r="V10" s="6" t="s">
        <v>87</v>
      </c>
      <c r="W10" s="6" t="s">
        <v>88</v>
      </c>
      <c r="X10" s="6" t="s">
        <v>94</v>
      </c>
      <c r="Y10" s="6" t="s">
        <v>111</v>
      </c>
      <c r="Z10" s="6" t="s">
        <v>91</v>
      </c>
      <c r="AA10" s="6">
        <v>5</v>
      </c>
      <c r="AB10" s="6">
        <v>1098.04</v>
      </c>
      <c r="AC10" s="6">
        <v>15</v>
      </c>
    </row>
    <row r="11" spans="1:29" x14ac:dyDescent="0.25">
      <c r="A11" s="6">
        <v>10185</v>
      </c>
      <c r="B11" s="6">
        <v>1870</v>
      </c>
      <c r="C11" s="11">
        <v>45016</v>
      </c>
      <c r="D11" s="11">
        <v>45023</v>
      </c>
      <c r="E11" s="6" t="s">
        <v>97</v>
      </c>
      <c r="F11" s="6" t="s">
        <v>79</v>
      </c>
      <c r="G11" s="6" t="s">
        <v>80</v>
      </c>
      <c r="H11" s="6" t="s">
        <v>81</v>
      </c>
      <c r="I11" s="6" t="s">
        <v>94</v>
      </c>
      <c r="J11" s="6" t="s">
        <v>102</v>
      </c>
      <c r="K11" s="6" t="s">
        <v>110</v>
      </c>
      <c r="L11" s="6">
        <v>7</v>
      </c>
      <c r="M11" s="6">
        <v>898.62</v>
      </c>
      <c r="N11" s="6">
        <v>0</v>
      </c>
      <c r="P11" s="6">
        <v>10018</v>
      </c>
      <c r="Q11" s="6">
        <v>1871</v>
      </c>
      <c r="R11" s="11">
        <v>45045</v>
      </c>
      <c r="S11" s="11">
        <v>45048</v>
      </c>
      <c r="T11" s="6" t="s">
        <v>78</v>
      </c>
      <c r="U11" s="6" t="s">
        <v>92</v>
      </c>
      <c r="V11" s="6" t="s">
        <v>87</v>
      </c>
      <c r="W11" s="6" t="s">
        <v>81</v>
      </c>
      <c r="X11" s="6" t="s">
        <v>82</v>
      </c>
      <c r="Y11" s="6" t="s">
        <v>118</v>
      </c>
      <c r="Z11" s="6" t="s">
        <v>91</v>
      </c>
      <c r="AA11" s="6">
        <v>1</v>
      </c>
      <c r="AB11" s="6">
        <v>2165.81</v>
      </c>
      <c r="AC11" s="6">
        <v>15</v>
      </c>
    </row>
    <row r="12" spans="1:29" x14ac:dyDescent="0.25">
      <c r="A12" s="6">
        <v>10482</v>
      </c>
      <c r="B12" s="6">
        <v>1606</v>
      </c>
      <c r="C12" s="11">
        <v>45153</v>
      </c>
      <c r="D12" s="11">
        <v>45162</v>
      </c>
      <c r="E12" s="6" t="s">
        <v>97</v>
      </c>
      <c r="F12" s="6" t="s">
        <v>117</v>
      </c>
      <c r="G12" s="6" t="s">
        <v>87</v>
      </c>
      <c r="H12" s="6" t="s">
        <v>88</v>
      </c>
      <c r="I12" s="6" t="s">
        <v>120</v>
      </c>
      <c r="J12" s="6" t="s">
        <v>129</v>
      </c>
      <c r="K12" s="6" t="s">
        <v>96</v>
      </c>
      <c r="L12" s="6">
        <v>7</v>
      </c>
      <c r="M12" s="6">
        <v>2172.2399999999998</v>
      </c>
      <c r="N12" s="6">
        <v>20</v>
      </c>
      <c r="P12" s="6">
        <v>10031</v>
      </c>
      <c r="Q12" s="6">
        <v>1276</v>
      </c>
      <c r="R12" s="11">
        <v>45162</v>
      </c>
      <c r="S12" s="11">
        <v>45166</v>
      </c>
      <c r="T12" s="6" t="s">
        <v>78</v>
      </c>
      <c r="U12" s="6" t="s">
        <v>92</v>
      </c>
      <c r="V12" s="6" t="s">
        <v>93</v>
      </c>
      <c r="W12" s="6" t="s">
        <v>105</v>
      </c>
      <c r="X12" s="6" t="s">
        <v>120</v>
      </c>
      <c r="Y12" s="6" t="s">
        <v>125</v>
      </c>
      <c r="Z12" s="6" t="s">
        <v>110</v>
      </c>
      <c r="AA12" s="6">
        <v>5</v>
      </c>
      <c r="AB12" s="6">
        <v>2295.65</v>
      </c>
      <c r="AC12" s="6">
        <v>20</v>
      </c>
    </row>
    <row r="13" spans="1:29" x14ac:dyDescent="0.25">
      <c r="A13" s="6">
        <v>10011</v>
      </c>
      <c r="B13" s="6">
        <v>1466</v>
      </c>
      <c r="C13" s="11">
        <v>45098</v>
      </c>
      <c r="D13" s="11">
        <v>45106</v>
      </c>
      <c r="E13" s="6" t="s">
        <v>97</v>
      </c>
      <c r="F13" s="6" t="s">
        <v>101</v>
      </c>
      <c r="G13" s="6" t="s">
        <v>80</v>
      </c>
      <c r="H13" s="6" t="s">
        <v>98</v>
      </c>
      <c r="I13" s="6" t="s">
        <v>112</v>
      </c>
      <c r="J13" s="6" t="s">
        <v>113</v>
      </c>
      <c r="K13" s="6" t="s">
        <v>96</v>
      </c>
      <c r="L13" s="6">
        <v>6</v>
      </c>
      <c r="M13" s="6">
        <v>3205.25</v>
      </c>
      <c r="N13" s="6">
        <v>0</v>
      </c>
      <c r="P13" s="6">
        <v>10032</v>
      </c>
      <c r="Q13" s="6">
        <v>1160</v>
      </c>
      <c r="R13" s="11">
        <v>45150</v>
      </c>
      <c r="S13" s="11">
        <v>45158</v>
      </c>
      <c r="T13" s="6" t="s">
        <v>78</v>
      </c>
      <c r="U13" s="6" t="s">
        <v>104</v>
      </c>
      <c r="V13" s="6" t="s">
        <v>93</v>
      </c>
      <c r="W13" s="6" t="s">
        <v>81</v>
      </c>
      <c r="X13" s="6" t="s">
        <v>82</v>
      </c>
      <c r="Y13" s="6" t="s">
        <v>106</v>
      </c>
      <c r="Z13" s="6" t="s">
        <v>84</v>
      </c>
      <c r="AA13" s="6">
        <v>4</v>
      </c>
      <c r="AB13" s="6">
        <v>750.74</v>
      </c>
      <c r="AC13" s="6">
        <v>5</v>
      </c>
    </row>
    <row r="14" spans="1:29" x14ac:dyDescent="0.25">
      <c r="A14" s="6">
        <v>10034</v>
      </c>
      <c r="B14" s="6">
        <v>1313</v>
      </c>
      <c r="C14" s="11">
        <v>45182</v>
      </c>
      <c r="D14" s="11">
        <v>45191</v>
      </c>
      <c r="E14" s="6" t="s">
        <v>97</v>
      </c>
      <c r="F14" s="6" t="s">
        <v>86</v>
      </c>
      <c r="G14" s="6" t="s">
        <v>93</v>
      </c>
      <c r="H14" s="6" t="s">
        <v>88</v>
      </c>
      <c r="I14" s="6" t="s">
        <v>94</v>
      </c>
      <c r="J14" s="6" t="s">
        <v>111</v>
      </c>
      <c r="K14" s="6" t="s">
        <v>110</v>
      </c>
      <c r="L14" s="6">
        <v>6</v>
      </c>
      <c r="M14" s="6">
        <v>1529.59</v>
      </c>
      <c r="N14" s="6">
        <v>0</v>
      </c>
      <c r="P14" s="6">
        <v>10040</v>
      </c>
      <c r="Q14" s="6">
        <v>1474</v>
      </c>
      <c r="R14" s="11">
        <v>45274</v>
      </c>
      <c r="S14" s="11">
        <v>45277</v>
      </c>
      <c r="T14" s="6" t="s">
        <v>78</v>
      </c>
      <c r="U14" s="6" t="s">
        <v>79</v>
      </c>
      <c r="V14" s="6" t="s">
        <v>93</v>
      </c>
      <c r="W14" s="6" t="s">
        <v>98</v>
      </c>
      <c r="X14" s="6" t="s">
        <v>89</v>
      </c>
      <c r="Y14" s="6" t="s">
        <v>90</v>
      </c>
      <c r="Z14" s="6" t="s">
        <v>91</v>
      </c>
      <c r="AA14" s="6">
        <v>6</v>
      </c>
      <c r="AB14" s="6">
        <v>3083.25</v>
      </c>
      <c r="AC14" s="6">
        <v>10</v>
      </c>
    </row>
    <row r="15" spans="1:29" x14ac:dyDescent="0.25">
      <c r="A15" s="6">
        <v>10068</v>
      </c>
      <c r="B15" s="6">
        <v>1315</v>
      </c>
      <c r="C15" s="11">
        <v>45062</v>
      </c>
      <c r="D15" s="11">
        <v>45064</v>
      </c>
      <c r="E15" s="6" t="s">
        <v>97</v>
      </c>
      <c r="F15" s="6" t="s">
        <v>104</v>
      </c>
      <c r="G15" s="6" t="s">
        <v>93</v>
      </c>
      <c r="H15" s="6" t="s">
        <v>107</v>
      </c>
      <c r="I15" s="6" t="s">
        <v>94</v>
      </c>
      <c r="J15" s="6" t="s">
        <v>111</v>
      </c>
      <c r="K15" s="6" t="s">
        <v>91</v>
      </c>
      <c r="L15" s="6">
        <v>6</v>
      </c>
      <c r="M15" s="6">
        <v>1380.66</v>
      </c>
      <c r="N15" s="6">
        <v>0</v>
      </c>
      <c r="P15" s="6">
        <v>10042</v>
      </c>
      <c r="Q15" s="6">
        <v>1510</v>
      </c>
      <c r="R15" s="11">
        <v>45195</v>
      </c>
      <c r="S15" s="11">
        <v>45204</v>
      </c>
      <c r="T15" s="6" t="s">
        <v>78</v>
      </c>
      <c r="U15" s="6" t="s">
        <v>117</v>
      </c>
      <c r="V15" s="6" t="s">
        <v>87</v>
      </c>
      <c r="W15" s="6" t="s">
        <v>98</v>
      </c>
      <c r="X15" s="6" t="s">
        <v>89</v>
      </c>
      <c r="Y15" s="6" t="s">
        <v>90</v>
      </c>
      <c r="Z15" s="6" t="s">
        <v>96</v>
      </c>
      <c r="AA15" s="6">
        <v>4</v>
      </c>
      <c r="AB15" s="6">
        <v>1211.67</v>
      </c>
      <c r="AC15" s="6">
        <v>20</v>
      </c>
    </row>
    <row r="16" spans="1:29" x14ac:dyDescent="0.25">
      <c r="A16" s="6">
        <v>10159</v>
      </c>
      <c r="B16" s="6">
        <v>1929</v>
      </c>
      <c r="C16" s="11">
        <v>45109</v>
      </c>
      <c r="D16" s="11">
        <v>45113</v>
      </c>
      <c r="E16" s="6" t="s">
        <v>97</v>
      </c>
      <c r="F16" s="6" t="s">
        <v>79</v>
      </c>
      <c r="G16" s="6" t="s">
        <v>87</v>
      </c>
      <c r="H16" s="6" t="s">
        <v>88</v>
      </c>
      <c r="I16" s="6" t="s">
        <v>112</v>
      </c>
      <c r="J16" s="6" t="s">
        <v>130</v>
      </c>
      <c r="K16" s="6" t="s">
        <v>108</v>
      </c>
      <c r="L16" s="6">
        <v>6</v>
      </c>
      <c r="M16" s="6">
        <v>3800.77</v>
      </c>
      <c r="N16" s="6">
        <v>0</v>
      </c>
      <c r="P16" s="6">
        <v>10065</v>
      </c>
      <c r="Q16" s="6">
        <v>1273</v>
      </c>
      <c r="R16" s="11">
        <v>45054</v>
      </c>
      <c r="S16" s="11">
        <v>45058</v>
      </c>
      <c r="T16" s="6" t="s">
        <v>78</v>
      </c>
      <c r="U16" s="6" t="s">
        <v>101</v>
      </c>
      <c r="V16" s="6" t="s">
        <v>80</v>
      </c>
      <c r="W16" s="6" t="s">
        <v>105</v>
      </c>
      <c r="X16" s="6" t="s">
        <v>82</v>
      </c>
      <c r="Y16" s="6" t="s">
        <v>106</v>
      </c>
      <c r="Z16" s="6" t="s">
        <v>108</v>
      </c>
      <c r="AA16" s="6">
        <v>2</v>
      </c>
      <c r="AB16" s="6">
        <v>2773.21</v>
      </c>
      <c r="AC16" s="6">
        <v>10</v>
      </c>
    </row>
    <row r="17" spans="1:29" x14ac:dyDescent="0.25">
      <c r="A17" s="6">
        <v>10195</v>
      </c>
      <c r="B17" s="6">
        <v>1574</v>
      </c>
      <c r="C17" s="11">
        <v>45044</v>
      </c>
      <c r="D17" s="11">
        <v>45045</v>
      </c>
      <c r="E17" s="6" t="s">
        <v>97</v>
      </c>
      <c r="F17" s="6" t="s">
        <v>86</v>
      </c>
      <c r="G17" s="6" t="s">
        <v>80</v>
      </c>
      <c r="H17" s="6" t="s">
        <v>98</v>
      </c>
      <c r="I17" s="6" t="s">
        <v>94</v>
      </c>
      <c r="J17" s="6" t="s">
        <v>128</v>
      </c>
      <c r="K17" s="6" t="s">
        <v>110</v>
      </c>
      <c r="L17" s="6">
        <v>6</v>
      </c>
      <c r="M17" s="6">
        <v>344.65</v>
      </c>
      <c r="N17" s="6">
        <v>10</v>
      </c>
      <c r="P17" s="6">
        <v>10066</v>
      </c>
      <c r="Q17" s="6">
        <v>1387</v>
      </c>
      <c r="R17" s="11">
        <v>45155</v>
      </c>
      <c r="S17" s="11">
        <v>45158</v>
      </c>
      <c r="T17" s="6" t="s">
        <v>78</v>
      </c>
      <c r="U17" s="6" t="s">
        <v>86</v>
      </c>
      <c r="V17" s="6" t="s">
        <v>80</v>
      </c>
      <c r="W17" s="6" t="s">
        <v>98</v>
      </c>
      <c r="X17" s="6" t="s">
        <v>120</v>
      </c>
      <c r="Y17" s="6" t="s">
        <v>129</v>
      </c>
      <c r="Z17" s="6" t="s">
        <v>108</v>
      </c>
      <c r="AA17" s="6">
        <v>8</v>
      </c>
      <c r="AB17" s="6">
        <v>3769.71</v>
      </c>
      <c r="AC17" s="6">
        <v>5</v>
      </c>
    </row>
    <row r="18" spans="1:29" x14ac:dyDescent="0.25">
      <c r="A18" s="6">
        <v>10371</v>
      </c>
      <c r="B18" s="6">
        <v>1253</v>
      </c>
      <c r="C18" s="11">
        <v>44973</v>
      </c>
      <c r="D18" s="11">
        <v>44979</v>
      </c>
      <c r="E18" s="6" t="s">
        <v>97</v>
      </c>
      <c r="F18" s="6" t="s">
        <v>104</v>
      </c>
      <c r="G18" s="6" t="s">
        <v>80</v>
      </c>
      <c r="H18" s="6" t="s">
        <v>81</v>
      </c>
      <c r="I18" s="6" t="s">
        <v>112</v>
      </c>
      <c r="J18" s="6" t="s">
        <v>130</v>
      </c>
      <c r="K18" s="6" t="s">
        <v>110</v>
      </c>
      <c r="L18" s="6">
        <v>6</v>
      </c>
      <c r="M18" s="6">
        <v>2715.13</v>
      </c>
      <c r="N18" s="6">
        <v>20</v>
      </c>
      <c r="P18" s="6">
        <v>10069</v>
      </c>
      <c r="Q18" s="6">
        <v>1013</v>
      </c>
      <c r="R18" s="11">
        <v>45288</v>
      </c>
      <c r="S18" s="11">
        <v>45296</v>
      </c>
      <c r="T18" s="6" t="s">
        <v>78</v>
      </c>
      <c r="U18" s="6" t="s">
        <v>86</v>
      </c>
      <c r="V18" s="6" t="s">
        <v>80</v>
      </c>
      <c r="W18" s="6" t="s">
        <v>107</v>
      </c>
      <c r="X18" s="6" t="s">
        <v>120</v>
      </c>
      <c r="Y18" s="6" t="s">
        <v>125</v>
      </c>
      <c r="Z18" s="6" t="s">
        <v>96</v>
      </c>
      <c r="AA18" s="6">
        <v>6</v>
      </c>
      <c r="AB18" s="6">
        <v>1836.98</v>
      </c>
      <c r="AC18" s="6">
        <v>5</v>
      </c>
    </row>
    <row r="19" spans="1:29" x14ac:dyDescent="0.25">
      <c r="A19" s="6">
        <v>10007</v>
      </c>
      <c r="B19" s="6">
        <v>1700</v>
      </c>
      <c r="C19" s="11">
        <v>45050</v>
      </c>
      <c r="D19" s="11">
        <v>45054</v>
      </c>
      <c r="E19" s="6" t="s">
        <v>97</v>
      </c>
      <c r="F19" s="6" t="s">
        <v>104</v>
      </c>
      <c r="G19" s="6" t="s">
        <v>80</v>
      </c>
      <c r="H19" s="6" t="s">
        <v>107</v>
      </c>
      <c r="I19" s="6" t="s">
        <v>94</v>
      </c>
      <c r="J19" s="6" t="s">
        <v>95</v>
      </c>
      <c r="K19" s="6" t="s">
        <v>108</v>
      </c>
      <c r="L19" s="6">
        <v>5</v>
      </c>
      <c r="M19" s="6">
        <v>3030.42</v>
      </c>
      <c r="N19" s="6">
        <v>10</v>
      </c>
      <c r="P19" s="6">
        <v>10071</v>
      </c>
      <c r="Q19" s="6">
        <v>1776</v>
      </c>
      <c r="R19" s="11">
        <v>45070</v>
      </c>
      <c r="S19" s="11">
        <v>45078</v>
      </c>
      <c r="T19" s="6" t="s">
        <v>78</v>
      </c>
      <c r="U19" s="6" t="s">
        <v>92</v>
      </c>
      <c r="V19" s="6" t="s">
        <v>80</v>
      </c>
      <c r="W19" s="6" t="s">
        <v>81</v>
      </c>
      <c r="X19" s="6" t="s">
        <v>89</v>
      </c>
      <c r="Y19" s="6" t="s">
        <v>124</v>
      </c>
      <c r="Z19" s="6" t="s">
        <v>110</v>
      </c>
      <c r="AA19" s="6">
        <v>3</v>
      </c>
      <c r="AB19" s="6">
        <v>3854.71</v>
      </c>
      <c r="AC19" s="6">
        <v>5</v>
      </c>
    </row>
    <row r="20" spans="1:29" x14ac:dyDescent="0.25">
      <c r="A20" s="6">
        <v>10010</v>
      </c>
      <c r="B20" s="6">
        <v>1121</v>
      </c>
      <c r="C20" s="11">
        <v>45139</v>
      </c>
      <c r="D20" s="11">
        <v>45147</v>
      </c>
      <c r="E20" s="6" t="s">
        <v>97</v>
      </c>
      <c r="F20" s="6" t="s">
        <v>101</v>
      </c>
      <c r="G20" s="6" t="s">
        <v>87</v>
      </c>
      <c r="H20" s="6" t="s">
        <v>98</v>
      </c>
      <c r="I20" s="6" t="s">
        <v>112</v>
      </c>
      <c r="J20" s="6" t="s">
        <v>113</v>
      </c>
      <c r="K20" s="6" t="s">
        <v>110</v>
      </c>
      <c r="L20" s="6">
        <v>5</v>
      </c>
      <c r="M20" s="6">
        <v>1780.66</v>
      </c>
      <c r="N20" s="6">
        <v>20</v>
      </c>
      <c r="P20" s="6">
        <v>10080</v>
      </c>
      <c r="Q20" s="6">
        <v>1427</v>
      </c>
      <c r="R20" s="11">
        <v>45288</v>
      </c>
      <c r="S20" s="11">
        <v>45293</v>
      </c>
      <c r="T20" s="6" t="s">
        <v>78</v>
      </c>
      <c r="U20" s="6" t="s">
        <v>117</v>
      </c>
      <c r="V20" s="6" t="s">
        <v>80</v>
      </c>
      <c r="W20" s="6" t="s">
        <v>88</v>
      </c>
      <c r="X20" s="6" t="s">
        <v>115</v>
      </c>
      <c r="Y20" s="6" t="s">
        <v>119</v>
      </c>
      <c r="Z20" s="6" t="s">
        <v>91</v>
      </c>
      <c r="AA20" s="6">
        <v>3</v>
      </c>
      <c r="AB20" s="6">
        <v>262.25</v>
      </c>
      <c r="AC20" s="6">
        <v>10</v>
      </c>
    </row>
    <row r="21" spans="1:29" x14ac:dyDescent="0.25">
      <c r="A21" s="6">
        <v>10079</v>
      </c>
      <c r="B21" s="6">
        <v>1454</v>
      </c>
      <c r="C21" s="11">
        <v>45246</v>
      </c>
      <c r="D21" s="11">
        <v>45254</v>
      </c>
      <c r="E21" s="6" t="s">
        <v>97</v>
      </c>
      <c r="F21" s="6" t="s">
        <v>79</v>
      </c>
      <c r="G21" s="6" t="s">
        <v>93</v>
      </c>
      <c r="H21" s="6" t="s">
        <v>98</v>
      </c>
      <c r="I21" s="6" t="s">
        <v>94</v>
      </c>
      <c r="J21" s="6" t="s">
        <v>95</v>
      </c>
      <c r="K21" s="6" t="s">
        <v>96</v>
      </c>
      <c r="L21" s="6">
        <v>5</v>
      </c>
      <c r="M21" s="6">
        <v>2291.86</v>
      </c>
      <c r="N21" s="6">
        <v>15</v>
      </c>
      <c r="P21" s="6">
        <v>10108</v>
      </c>
      <c r="Q21" s="6">
        <v>1815</v>
      </c>
      <c r="R21" s="11">
        <v>45037</v>
      </c>
      <c r="S21" s="11">
        <v>45045</v>
      </c>
      <c r="T21" s="6" t="s">
        <v>78</v>
      </c>
      <c r="U21" s="6" t="s">
        <v>92</v>
      </c>
      <c r="V21" s="6" t="s">
        <v>87</v>
      </c>
      <c r="W21" s="6" t="s">
        <v>81</v>
      </c>
      <c r="X21" s="6" t="s">
        <v>89</v>
      </c>
      <c r="Y21" s="6" t="s">
        <v>99</v>
      </c>
      <c r="Z21" s="6" t="s">
        <v>84</v>
      </c>
      <c r="AA21" s="6">
        <v>2</v>
      </c>
      <c r="AB21" s="6">
        <v>564.30999999999995</v>
      </c>
      <c r="AC21" s="6">
        <v>15</v>
      </c>
    </row>
    <row r="22" spans="1:29" x14ac:dyDescent="0.25">
      <c r="A22" s="6">
        <v>10151</v>
      </c>
      <c r="B22" s="6">
        <v>1489</v>
      </c>
      <c r="C22" s="11">
        <v>45240</v>
      </c>
      <c r="D22" s="11">
        <v>45241</v>
      </c>
      <c r="E22" s="6" t="s">
        <v>97</v>
      </c>
      <c r="F22" s="6" t="s">
        <v>92</v>
      </c>
      <c r="G22" s="6" t="s">
        <v>93</v>
      </c>
      <c r="H22" s="6" t="s">
        <v>81</v>
      </c>
      <c r="I22" s="6" t="s">
        <v>112</v>
      </c>
      <c r="J22" s="6" t="s">
        <v>126</v>
      </c>
      <c r="K22" s="6" t="s">
        <v>110</v>
      </c>
      <c r="L22" s="6">
        <v>5</v>
      </c>
      <c r="M22" s="6">
        <v>1461.1</v>
      </c>
      <c r="N22" s="6">
        <v>15</v>
      </c>
      <c r="P22" s="6">
        <v>10111</v>
      </c>
      <c r="Q22" s="6">
        <v>1461</v>
      </c>
      <c r="R22" s="11">
        <v>44950</v>
      </c>
      <c r="S22" s="11">
        <v>44959</v>
      </c>
      <c r="T22" s="6" t="s">
        <v>78</v>
      </c>
      <c r="U22" s="6" t="s">
        <v>117</v>
      </c>
      <c r="V22" s="6" t="s">
        <v>93</v>
      </c>
      <c r="W22" s="6" t="s">
        <v>98</v>
      </c>
      <c r="X22" s="6" t="s">
        <v>112</v>
      </c>
      <c r="Y22" s="6" t="s">
        <v>130</v>
      </c>
      <c r="Z22" s="6" t="s">
        <v>96</v>
      </c>
      <c r="AA22" s="6">
        <v>1</v>
      </c>
      <c r="AB22" s="6">
        <v>1820.02</v>
      </c>
      <c r="AC22" s="6">
        <v>10</v>
      </c>
    </row>
    <row r="23" spans="1:29" x14ac:dyDescent="0.25">
      <c r="A23" s="6">
        <v>10198</v>
      </c>
      <c r="B23" s="6">
        <v>1240</v>
      </c>
      <c r="C23" s="11">
        <v>45291</v>
      </c>
      <c r="D23" s="11">
        <v>45292</v>
      </c>
      <c r="E23" s="6" t="s">
        <v>97</v>
      </c>
      <c r="F23" s="6" t="s">
        <v>104</v>
      </c>
      <c r="G23" s="6" t="s">
        <v>80</v>
      </c>
      <c r="H23" s="6" t="s">
        <v>105</v>
      </c>
      <c r="I23" s="6" t="s">
        <v>82</v>
      </c>
      <c r="J23" s="6" t="s">
        <v>132</v>
      </c>
      <c r="K23" s="6" t="s">
        <v>108</v>
      </c>
      <c r="L23" s="6">
        <v>5</v>
      </c>
      <c r="M23" s="6">
        <v>1227.02</v>
      </c>
      <c r="N23" s="6">
        <v>15</v>
      </c>
      <c r="P23" s="6">
        <v>10130</v>
      </c>
      <c r="Q23" s="6">
        <v>1156</v>
      </c>
      <c r="R23" s="11">
        <v>44929</v>
      </c>
      <c r="S23" s="11">
        <v>44938</v>
      </c>
      <c r="T23" s="6" t="s">
        <v>78</v>
      </c>
      <c r="U23" s="6" t="s">
        <v>104</v>
      </c>
      <c r="V23" s="6" t="s">
        <v>80</v>
      </c>
      <c r="W23" s="6" t="s">
        <v>105</v>
      </c>
      <c r="X23" s="6" t="s">
        <v>120</v>
      </c>
      <c r="Y23" s="6" t="s">
        <v>125</v>
      </c>
      <c r="Z23" s="6" t="s">
        <v>96</v>
      </c>
      <c r="AA23" s="6">
        <v>1</v>
      </c>
      <c r="AB23" s="6">
        <v>2534.4699999999998</v>
      </c>
      <c r="AC23" s="6">
        <v>5</v>
      </c>
    </row>
    <row r="24" spans="1:29" x14ac:dyDescent="0.25">
      <c r="A24" s="6">
        <v>10086</v>
      </c>
      <c r="B24" s="6">
        <v>1080</v>
      </c>
      <c r="C24" s="11">
        <v>44992</v>
      </c>
      <c r="D24" s="11">
        <v>44996</v>
      </c>
      <c r="E24" s="6" t="s">
        <v>97</v>
      </c>
      <c r="F24" s="6" t="s">
        <v>101</v>
      </c>
      <c r="G24" s="6" t="s">
        <v>93</v>
      </c>
      <c r="H24" s="6" t="s">
        <v>107</v>
      </c>
      <c r="I24" s="6" t="s">
        <v>94</v>
      </c>
      <c r="J24" s="6" t="s">
        <v>128</v>
      </c>
      <c r="K24" s="6" t="s">
        <v>108</v>
      </c>
      <c r="L24" s="6">
        <v>4</v>
      </c>
      <c r="M24" s="6">
        <v>518.55999999999995</v>
      </c>
      <c r="N24" s="6">
        <v>20</v>
      </c>
      <c r="P24" s="6">
        <v>10171</v>
      </c>
      <c r="Q24" s="6">
        <v>1986</v>
      </c>
      <c r="R24" s="11">
        <v>45227</v>
      </c>
      <c r="S24" s="11">
        <v>45228</v>
      </c>
      <c r="T24" s="6" t="s">
        <v>78</v>
      </c>
      <c r="U24" s="6" t="s">
        <v>104</v>
      </c>
      <c r="V24" s="6" t="s">
        <v>87</v>
      </c>
      <c r="W24" s="6" t="s">
        <v>81</v>
      </c>
      <c r="X24" s="6" t="s">
        <v>82</v>
      </c>
      <c r="Y24" s="6" t="s">
        <v>106</v>
      </c>
      <c r="Z24" s="6" t="s">
        <v>84</v>
      </c>
      <c r="AA24" s="6">
        <v>8</v>
      </c>
      <c r="AB24" s="6">
        <v>3795.01</v>
      </c>
      <c r="AC24" s="6">
        <v>5</v>
      </c>
    </row>
    <row r="25" spans="1:29" x14ac:dyDescent="0.25">
      <c r="A25" s="6">
        <v>10132</v>
      </c>
      <c r="B25" s="6">
        <v>1812</v>
      </c>
      <c r="C25" s="11">
        <v>45155</v>
      </c>
      <c r="D25" s="11">
        <v>45163</v>
      </c>
      <c r="E25" s="6" t="s">
        <v>97</v>
      </c>
      <c r="F25" s="6" t="s">
        <v>92</v>
      </c>
      <c r="G25" s="6" t="s">
        <v>87</v>
      </c>
      <c r="H25" s="6" t="s">
        <v>98</v>
      </c>
      <c r="I25" s="6" t="s">
        <v>120</v>
      </c>
      <c r="J25" s="6" t="s">
        <v>121</v>
      </c>
      <c r="K25" s="6" t="s">
        <v>110</v>
      </c>
      <c r="L25" s="6">
        <v>4</v>
      </c>
      <c r="M25" s="6">
        <v>3153.73</v>
      </c>
      <c r="N25" s="6">
        <v>0</v>
      </c>
      <c r="P25" s="6">
        <v>10173</v>
      </c>
      <c r="Q25" s="6">
        <v>1960</v>
      </c>
      <c r="R25" s="11">
        <v>45124</v>
      </c>
      <c r="S25" s="11">
        <v>45127</v>
      </c>
      <c r="T25" s="6" t="s">
        <v>78</v>
      </c>
      <c r="U25" s="6" t="s">
        <v>101</v>
      </c>
      <c r="V25" s="6" t="s">
        <v>87</v>
      </c>
      <c r="W25" s="6" t="s">
        <v>105</v>
      </c>
      <c r="X25" s="6" t="s">
        <v>94</v>
      </c>
      <c r="Y25" s="6" t="s">
        <v>128</v>
      </c>
      <c r="Z25" s="6" t="s">
        <v>91</v>
      </c>
      <c r="AA25" s="6">
        <v>3</v>
      </c>
      <c r="AB25" s="6">
        <v>1357.77</v>
      </c>
      <c r="AC25" s="6">
        <v>5</v>
      </c>
    </row>
    <row r="26" spans="1:29" x14ac:dyDescent="0.25">
      <c r="A26" s="6">
        <v>10165</v>
      </c>
      <c r="B26" s="6">
        <v>1727</v>
      </c>
      <c r="C26" s="11">
        <v>45039</v>
      </c>
      <c r="D26" s="11">
        <v>45043</v>
      </c>
      <c r="E26" s="6" t="s">
        <v>97</v>
      </c>
      <c r="F26" s="6" t="s">
        <v>101</v>
      </c>
      <c r="G26" s="6" t="s">
        <v>87</v>
      </c>
      <c r="H26" s="6" t="s">
        <v>98</v>
      </c>
      <c r="I26" s="6" t="s">
        <v>120</v>
      </c>
      <c r="J26" s="6" t="s">
        <v>125</v>
      </c>
      <c r="K26" s="6" t="s">
        <v>91</v>
      </c>
      <c r="L26" s="6">
        <v>4</v>
      </c>
      <c r="M26" s="6">
        <v>3718.63</v>
      </c>
      <c r="N26" s="6">
        <v>20</v>
      </c>
      <c r="P26" s="6">
        <v>10180</v>
      </c>
      <c r="Q26" s="6">
        <v>1004</v>
      </c>
      <c r="R26" s="11">
        <v>45004</v>
      </c>
      <c r="S26" s="11">
        <v>45006</v>
      </c>
      <c r="T26" s="6" t="s">
        <v>78</v>
      </c>
      <c r="U26" s="6" t="s">
        <v>92</v>
      </c>
      <c r="V26" s="6" t="s">
        <v>80</v>
      </c>
      <c r="W26" s="6" t="s">
        <v>98</v>
      </c>
      <c r="X26" s="6" t="s">
        <v>82</v>
      </c>
      <c r="Y26" s="6" t="s">
        <v>106</v>
      </c>
      <c r="Z26" s="6" t="s">
        <v>108</v>
      </c>
      <c r="AA26" s="6">
        <v>8</v>
      </c>
      <c r="AB26" s="6">
        <v>2211.17</v>
      </c>
      <c r="AC26" s="6">
        <v>10</v>
      </c>
    </row>
    <row r="27" spans="1:29" x14ac:dyDescent="0.25">
      <c r="A27" s="6">
        <v>10199</v>
      </c>
      <c r="B27" s="6">
        <v>1563</v>
      </c>
      <c r="C27" s="11">
        <v>44977</v>
      </c>
      <c r="D27" s="11">
        <v>44984</v>
      </c>
      <c r="E27" s="6" t="s">
        <v>97</v>
      </c>
      <c r="F27" s="6" t="s">
        <v>86</v>
      </c>
      <c r="G27" s="6" t="s">
        <v>87</v>
      </c>
      <c r="H27" s="6" t="s">
        <v>98</v>
      </c>
      <c r="I27" s="6" t="s">
        <v>112</v>
      </c>
      <c r="J27" s="6" t="s">
        <v>114</v>
      </c>
      <c r="K27" s="6" t="s">
        <v>110</v>
      </c>
      <c r="L27" s="6">
        <v>4</v>
      </c>
      <c r="M27" s="6">
        <v>1428.19</v>
      </c>
      <c r="N27" s="6">
        <v>10</v>
      </c>
      <c r="P27" s="6">
        <v>10181</v>
      </c>
      <c r="Q27" s="6">
        <v>1217</v>
      </c>
      <c r="R27" s="11">
        <v>45050</v>
      </c>
      <c r="S27" s="11">
        <v>45053</v>
      </c>
      <c r="T27" s="6" t="s">
        <v>78</v>
      </c>
      <c r="U27" s="6" t="s">
        <v>86</v>
      </c>
      <c r="V27" s="6" t="s">
        <v>80</v>
      </c>
      <c r="W27" s="6" t="s">
        <v>105</v>
      </c>
      <c r="X27" s="6" t="s">
        <v>112</v>
      </c>
      <c r="Y27" s="6" t="s">
        <v>113</v>
      </c>
      <c r="Z27" s="6" t="s">
        <v>96</v>
      </c>
      <c r="AA27" s="6">
        <v>5</v>
      </c>
      <c r="AB27" s="6">
        <v>2329.38</v>
      </c>
      <c r="AC27" s="6">
        <v>20</v>
      </c>
    </row>
    <row r="28" spans="1:29" x14ac:dyDescent="0.25">
      <c r="A28" s="6">
        <v>10447</v>
      </c>
      <c r="B28" s="6">
        <v>1026</v>
      </c>
      <c r="C28" s="11">
        <v>45264</v>
      </c>
      <c r="D28" s="11">
        <v>45265</v>
      </c>
      <c r="E28" s="6" t="s">
        <v>97</v>
      </c>
      <c r="F28" s="6" t="s">
        <v>101</v>
      </c>
      <c r="G28" s="6" t="s">
        <v>80</v>
      </c>
      <c r="H28" s="6" t="s">
        <v>98</v>
      </c>
      <c r="I28" s="6" t="s">
        <v>89</v>
      </c>
      <c r="J28" s="6" t="s">
        <v>131</v>
      </c>
      <c r="K28" s="6" t="s">
        <v>91</v>
      </c>
      <c r="L28" s="6">
        <v>4</v>
      </c>
      <c r="M28" s="6">
        <v>3871.21</v>
      </c>
      <c r="N28" s="6">
        <v>10</v>
      </c>
      <c r="P28" s="6">
        <v>10183</v>
      </c>
      <c r="Q28" s="6">
        <v>1766</v>
      </c>
      <c r="R28" s="11">
        <v>45285</v>
      </c>
      <c r="S28" s="11">
        <v>45294</v>
      </c>
      <c r="T28" s="6" t="s">
        <v>78</v>
      </c>
      <c r="U28" s="6" t="s">
        <v>86</v>
      </c>
      <c r="V28" s="6" t="s">
        <v>93</v>
      </c>
      <c r="W28" s="6" t="s">
        <v>81</v>
      </c>
      <c r="X28" s="6" t="s">
        <v>94</v>
      </c>
      <c r="Y28" s="6" t="s">
        <v>102</v>
      </c>
      <c r="Z28" s="6" t="s">
        <v>110</v>
      </c>
      <c r="AA28" s="6">
        <v>7</v>
      </c>
      <c r="AB28" s="6">
        <v>658.07</v>
      </c>
      <c r="AC28" s="6">
        <v>20</v>
      </c>
    </row>
    <row r="29" spans="1:29" x14ac:dyDescent="0.25">
      <c r="A29" s="6">
        <v>10088</v>
      </c>
      <c r="B29" s="6">
        <v>1561</v>
      </c>
      <c r="C29" s="11">
        <v>44939</v>
      </c>
      <c r="D29" s="11">
        <v>44946</v>
      </c>
      <c r="E29" s="6" t="s">
        <v>97</v>
      </c>
      <c r="F29" s="6" t="s">
        <v>92</v>
      </c>
      <c r="G29" s="6" t="s">
        <v>80</v>
      </c>
      <c r="H29" s="6" t="s">
        <v>105</v>
      </c>
      <c r="I29" s="6" t="s">
        <v>112</v>
      </c>
      <c r="J29" s="6" t="s">
        <v>126</v>
      </c>
      <c r="K29" s="6" t="s">
        <v>110</v>
      </c>
      <c r="L29" s="6">
        <v>3</v>
      </c>
      <c r="M29" s="6">
        <v>3879.4</v>
      </c>
      <c r="N29" s="6">
        <v>20</v>
      </c>
      <c r="P29" s="6">
        <v>10192</v>
      </c>
      <c r="Q29" s="6">
        <v>1891</v>
      </c>
      <c r="R29" s="11">
        <v>45039</v>
      </c>
      <c r="S29" s="11">
        <v>45042</v>
      </c>
      <c r="T29" s="6" t="s">
        <v>78</v>
      </c>
      <c r="U29" s="6" t="s">
        <v>92</v>
      </c>
      <c r="V29" s="6" t="s">
        <v>93</v>
      </c>
      <c r="W29" s="6" t="s">
        <v>98</v>
      </c>
      <c r="X29" s="6" t="s">
        <v>115</v>
      </c>
      <c r="Y29" s="6" t="s">
        <v>123</v>
      </c>
      <c r="Z29" s="6" t="s">
        <v>84</v>
      </c>
      <c r="AA29" s="6">
        <v>2</v>
      </c>
      <c r="AB29" s="6">
        <v>487.23</v>
      </c>
      <c r="AC29" s="6">
        <v>15</v>
      </c>
    </row>
    <row r="30" spans="1:29" x14ac:dyDescent="0.25">
      <c r="A30" s="6">
        <v>10129</v>
      </c>
      <c r="B30" s="6">
        <v>1040</v>
      </c>
      <c r="C30" s="11">
        <v>44940</v>
      </c>
      <c r="D30" s="11">
        <v>44946</v>
      </c>
      <c r="E30" s="6" t="s">
        <v>97</v>
      </c>
      <c r="F30" s="6" t="s">
        <v>92</v>
      </c>
      <c r="G30" s="6" t="s">
        <v>87</v>
      </c>
      <c r="H30" s="6" t="s">
        <v>107</v>
      </c>
      <c r="I30" s="6" t="s">
        <v>115</v>
      </c>
      <c r="J30" s="6" t="s">
        <v>119</v>
      </c>
      <c r="K30" s="6" t="s">
        <v>84</v>
      </c>
      <c r="L30" s="6">
        <v>3</v>
      </c>
      <c r="M30" s="6">
        <v>1621.67</v>
      </c>
      <c r="N30" s="6">
        <v>0</v>
      </c>
      <c r="P30" s="6">
        <v>10200</v>
      </c>
      <c r="Q30" s="6">
        <v>1095</v>
      </c>
      <c r="R30" s="11">
        <v>45171</v>
      </c>
      <c r="S30" s="11">
        <v>45176</v>
      </c>
      <c r="T30" s="6" t="s">
        <v>78</v>
      </c>
      <c r="U30" s="6" t="s">
        <v>92</v>
      </c>
      <c r="V30" s="6" t="s">
        <v>93</v>
      </c>
      <c r="W30" s="6" t="s">
        <v>107</v>
      </c>
      <c r="X30" s="6" t="s">
        <v>82</v>
      </c>
      <c r="Y30" s="6" t="s">
        <v>132</v>
      </c>
      <c r="Z30" s="6" t="s">
        <v>96</v>
      </c>
      <c r="AA30" s="6">
        <v>3</v>
      </c>
      <c r="AB30" s="6">
        <v>2701.77</v>
      </c>
      <c r="AC30" s="6">
        <v>15</v>
      </c>
    </row>
    <row r="31" spans="1:29" x14ac:dyDescent="0.25">
      <c r="A31" s="6">
        <v>10148</v>
      </c>
      <c r="B31" s="6">
        <v>1288</v>
      </c>
      <c r="C31" s="11">
        <v>45035</v>
      </c>
      <c r="D31" s="11">
        <v>45043</v>
      </c>
      <c r="E31" s="6" t="s">
        <v>97</v>
      </c>
      <c r="F31" s="6" t="s">
        <v>92</v>
      </c>
      <c r="G31" s="6" t="s">
        <v>93</v>
      </c>
      <c r="H31" s="6" t="s">
        <v>107</v>
      </c>
      <c r="I31" s="6" t="s">
        <v>82</v>
      </c>
      <c r="J31" s="6" t="s">
        <v>83</v>
      </c>
      <c r="K31" s="6" t="s">
        <v>110</v>
      </c>
      <c r="L31" s="6">
        <v>3</v>
      </c>
      <c r="M31" s="6">
        <v>3219.26</v>
      </c>
      <c r="N31" s="6">
        <v>10</v>
      </c>
      <c r="P31" s="6">
        <v>10201</v>
      </c>
      <c r="Q31" s="6">
        <v>1899</v>
      </c>
      <c r="R31" s="11">
        <v>44961</v>
      </c>
      <c r="S31" s="11">
        <v>44966</v>
      </c>
      <c r="T31" s="6" t="s">
        <v>78</v>
      </c>
      <c r="U31" s="6" t="s">
        <v>92</v>
      </c>
      <c r="V31" s="6" t="s">
        <v>93</v>
      </c>
      <c r="W31" s="6" t="s">
        <v>105</v>
      </c>
      <c r="X31" s="6" t="s">
        <v>120</v>
      </c>
      <c r="Y31" s="6" t="s">
        <v>122</v>
      </c>
      <c r="Z31" s="6" t="s">
        <v>91</v>
      </c>
      <c r="AA31" s="6">
        <v>5</v>
      </c>
      <c r="AB31" s="6">
        <v>3501.94</v>
      </c>
      <c r="AC31" s="6">
        <v>20</v>
      </c>
    </row>
    <row r="32" spans="1:29" x14ac:dyDescent="0.25">
      <c r="A32" s="6">
        <v>10174</v>
      </c>
      <c r="B32" s="6">
        <v>1738</v>
      </c>
      <c r="C32" s="11">
        <v>45186</v>
      </c>
      <c r="D32" s="11">
        <v>45195</v>
      </c>
      <c r="E32" s="6" t="s">
        <v>97</v>
      </c>
      <c r="F32" s="6" t="s">
        <v>79</v>
      </c>
      <c r="G32" s="6" t="s">
        <v>93</v>
      </c>
      <c r="H32" s="6" t="s">
        <v>81</v>
      </c>
      <c r="I32" s="6" t="s">
        <v>115</v>
      </c>
      <c r="J32" s="6" t="s">
        <v>116</v>
      </c>
      <c r="K32" s="6" t="s">
        <v>91</v>
      </c>
      <c r="L32" s="6">
        <v>3</v>
      </c>
      <c r="M32" s="6">
        <v>1104.31</v>
      </c>
      <c r="N32" s="6">
        <v>15</v>
      </c>
      <c r="P32" s="6">
        <v>10210</v>
      </c>
      <c r="Q32" s="6">
        <v>1035</v>
      </c>
      <c r="R32" s="11">
        <v>45282</v>
      </c>
      <c r="S32" s="11">
        <v>45284</v>
      </c>
      <c r="T32" s="6" t="s">
        <v>78</v>
      </c>
      <c r="U32" s="6" t="s">
        <v>117</v>
      </c>
      <c r="V32" s="6" t="s">
        <v>93</v>
      </c>
      <c r="W32" s="6" t="s">
        <v>81</v>
      </c>
      <c r="X32" s="6" t="s">
        <v>82</v>
      </c>
      <c r="Y32" s="6" t="s">
        <v>83</v>
      </c>
      <c r="Z32" s="6" t="s">
        <v>108</v>
      </c>
      <c r="AA32" s="6">
        <v>8</v>
      </c>
      <c r="AB32" s="6">
        <v>3656.59</v>
      </c>
      <c r="AC32" s="6">
        <v>15</v>
      </c>
    </row>
    <row r="33" spans="1:29" x14ac:dyDescent="0.25">
      <c r="A33" s="6">
        <v>10244</v>
      </c>
      <c r="B33" s="6">
        <v>1627</v>
      </c>
      <c r="C33" s="11">
        <v>45032</v>
      </c>
      <c r="D33" s="11">
        <v>45038</v>
      </c>
      <c r="E33" s="6" t="s">
        <v>97</v>
      </c>
      <c r="F33" s="6" t="s">
        <v>92</v>
      </c>
      <c r="G33" s="6" t="s">
        <v>80</v>
      </c>
      <c r="H33" s="6" t="s">
        <v>107</v>
      </c>
      <c r="I33" s="6" t="s">
        <v>115</v>
      </c>
      <c r="J33" s="6" t="s">
        <v>116</v>
      </c>
      <c r="K33" s="6" t="s">
        <v>108</v>
      </c>
      <c r="L33" s="6">
        <v>3</v>
      </c>
      <c r="M33" s="6">
        <v>800.89</v>
      </c>
      <c r="N33" s="6">
        <v>0</v>
      </c>
      <c r="P33" s="6">
        <v>10215</v>
      </c>
      <c r="Q33" s="6">
        <v>1242</v>
      </c>
      <c r="R33" s="11">
        <v>45157</v>
      </c>
      <c r="S33" s="11">
        <v>45162</v>
      </c>
      <c r="T33" s="6" t="s">
        <v>78</v>
      </c>
      <c r="U33" s="6" t="s">
        <v>79</v>
      </c>
      <c r="V33" s="6" t="s">
        <v>80</v>
      </c>
      <c r="W33" s="6" t="s">
        <v>88</v>
      </c>
      <c r="X33" s="6" t="s">
        <v>89</v>
      </c>
      <c r="Y33" s="6" t="s">
        <v>90</v>
      </c>
      <c r="Z33" s="6" t="s">
        <v>84</v>
      </c>
      <c r="AA33" s="6">
        <v>5</v>
      </c>
      <c r="AB33" s="6">
        <v>633.42999999999995</v>
      </c>
      <c r="AC33" s="6">
        <v>20</v>
      </c>
    </row>
    <row r="34" spans="1:29" x14ac:dyDescent="0.25">
      <c r="A34" s="6">
        <v>10361</v>
      </c>
      <c r="B34" s="6">
        <v>1262</v>
      </c>
      <c r="C34" s="11">
        <v>45233</v>
      </c>
      <c r="D34" s="11">
        <v>45234</v>
      </c>
      <c r="E34" s="6" t="s">
        <v>97</v>
      </c>
      <c r="F34" s="6" t="s">
        <v>86</v>
      </c>
      <c r="G34" s="6" t="s">
        <v>87</v>
      </c>
      <c r="H34" s="6" t="s">
        <v>107</v>
      </c>
      <c r="I34" s="6" t="s">
        <v>120</v>
      </c>
      <c r="J34" s="6" t="s">
        <v>122</v>
      </c>
      <c r="K34" s="6" t="s">
        <v>84</v>
      </c>
      <c r="L34" s="6">
        <v>3</v>
      </c>
      <c r="M34" s="6">
        <v>2284.27</v>
      </c>
      <c r="N34" s="6">
        <v>20</v>
      </c>
      <c r="P34" s="6">
        <v>10245</v>
      </c>
      <c r="Q34" s="6">
        <v>1972</v>
      </c>
      <c r="R34" s="11">
        <v>45143</v>
      </c>
      <c r="S34" s="11">
        <v>45148</v>
      </c>
      <c r="T34" s="6" t="s">
        <v>78</v>
      </c>
      <c r="U34" s="6" t="s">
        <v>79</v>
      </c>
      <c r="V34" s="6" t="s">
        <v>93</v>
      </c>
      <c r="W34" s="6" t="s">
        <v>105</v>
      </c>
      <c r="X34" s="6" t="s">
        <v>112</v>
      </c>
      <c r="Y34" s="6" t="s">
        <v>114</v>
      </c>
      <c r="Z34" s="6" t="s">
        <v>110</v>
      </c>
      <c r="AA34" s="6">
        <v>8</v>
      </c>
      <c r="AB34" s="6">
        <v>1504.45</v>
      </c>
      <c r="AC34" s="6">
        <v>20</v>
      </c>
    </row>
    <row r="35" spans="1:29" x14ac:dyDescent="0.25">
      <c r="A35" s="6">
        <v>10439</v>
      </c>
      <c r="B35" s="6">
        <v>1669</v>
      </c>
      <c r="C35" s="11">
        <v>45174</v>
      </c>
      <c r="D35" s="11">
        <v>45179</v>
      </c>
      <c r="E35" s="6" t="s">
        <v>97</v>
      </c>
      <c r="F35" s="6" t="s">
        <v>92</v>
      </c>
      <c r="G35" s="6" t="s">
        <v>87</v>
      </c>
      <c r="H35" s="6" t="s">
        <v>98</v>
      </c>
      <c r="I35" s="6" t="s">
        <v>112</v>
      </c>
      <c r="J35" s="6" t="s">
        <v>114</v>
      </c>
      <c r="K35" s="6" t="s">
        <v>91</v>
      </c>
      <c r="L35" s="6">
        <v>3</v>
      </c>
      <c r="M35" s="6">
        <v>1448.62</v>
      </c>
      <c r="N35" s="6">
        <v>10</v>
      </c>
      <c r="P35" s="6">
        <v>10247</v>
      </c>
      <c r="Q35" s="6">
        <v>1258</v>
      </c>
      <c r="R35" s="11">
        <v>44996</v>
      </c>
      <c r="S35" s="11">
        <v>44998</v>
      </c>
      <c r="T35" s="6" t="s">
        <v>78</v>
      </c>
      <c r="U35" s="6" t="s">
        <v>117</v>
      </c>
      <c r="V35" s="6" t="s">
        <v>93</v>
      </c>
      <c r="W35" s="6" t="s">
        <v>98</v>
      </c>
      <c r="X35" s="6" t="s">
        <v>115</v>
      </c>
      <c r="Y35" s="6" t="s">
        <v>127</v>
      </c>
      <c r="Z35" s="6" t="s">
        <v>110</v>
      </c>
      <c r="AA35" s="6">
        <v>7</v>
      </c>
      <c r="AB35" s="6">
        <v>2102.27</v>
      </c>
      <c r="AC35" s="6">
        <v>20</v>
      </c>
    </row>
    <row r="36" spans="1:29" x14ac:dyDescent="0.25">
      <c r="A36" s="6">
        <v>10019</v>
      </c>
      <c r="B36" s="6">
        <v>1663</v>
      </c>
      <c r="C36" s="11">
        <v>44965</v>
      </c>
      <c r="D36" s="11">
        <v>44968</v>
      </c>
      <c r="E36" s="6" t="s">
        <v>97</v>
      </c>
      <c r="F36" s="6" t="s">
        <v>101</v>
      </c>
      <c r="G36" s="6" t="s">
        <v>93</v>
      </c>
      <c r="H36" s="6" t="s">
        <v>105</v>
      </c>
      <c r="I36" s="6" t="s">
        <v>94</v>
      </c>
      <c r="J36" s="6" t="s">
        <v>102</v>
      </c>
      <c r="K36" s="6" t="s">
        <v>96</v>
      </c>
      <c r="L36" s="6">
        <v>2</v>
      </c>
      <c r="M36" s="6">
        <v>990.3</v>
      </c>
      <c r="N36" s="6">
        <v>15</v>
      </c>
      <c r="P36" s="6">
        <v>10261</v>
      </c>
      <c r="Q36" s="6">
        <v>1826</v>
      </c>
      <c r="R36" s="11">
        <v>44933</v>
      </c>
      <c r="S36" s="11">
        <v>44936</v>
      </c>
      <c r="T36" s="6" t="s">
        <v>78</v>
      </c>
      <c r="U36" s="6" t="s">
        <v>117</v>
      </c>
      <c r="V36" s="6" t="s">
        <v>87</v>
      </c>
      <c r="W36" s="6" t="s">
        <v>88</v>
      </c>
      <c r="X36" s="6" t="s">
        <v>94</v>
      </c>
      <c r="Y36" s="6" t="s">
        <v>95</v>
      </c>
      <c r="Z36" s="6" t="s">
        <v>96</v>
      </c>
      <c r="AA36" s="6">
        <v>2</v>
      </c>
      <c r="AB36" s="6">
        <v>533.25</v>
      </c>
      <c r="AC36" s="6">
        <v>0</v>
      </c>
    </row>
    <row r="37" spans="1:29" x14ac:dyDescent="0.25">
      <c r="A37" s="6">
        <v>10190</v>
      </c>
      <c r="B37" s="6">
        <v>1857</v>
      </c>
      <c r="C37" s="11">
        <v>45185</v>
      </c>
      <c r="D37" s="11">
        <v>45187</v>
      </c>
      <c r="E37" s="6" t="s">
        <v>97</v>
      </c>
      <c r="F37" s="6" t="s">
        <v>117</v>
      </c>
      <c r="G37" s="6" t="s">
        <v>93</v>
      </c>
      <c r="H37" s="6" t="s">
        <v>88</v>
      </c>
      <c r="I37" s="6" t="s">
        <v>112</v>
      </c>
      <c r="J37" s="6" t="s">
        <v>114</v>
      </c>
      <c r="K37" s="6" t="s">
        <v>84</v>
      </c>
      <c r="L37" s="6">
        <v>2</v>
      </c>
      <c r="M37" s="6">
        <v>1372.59</v>
      </c>
      <c r="N37" s="6">
        <v>5</v>
      </c>
      <c r="P37" s="6">
        <v>10262</v>
      </c>
      <c r="Q37" s="6">
        <v>1373</v>
      </c>
      <c r="R37" s="11">
        <v>44996</v>
      </c>
      <c r="S37" s="11">
        <v>44998</v>
      </c>
      <c r="T37" s="6" t="s">
        <v>78</v>
      </c>
      <c r="U37" s="6" t="s">
        <v>86</v>
      </c>
      <c r="V37" s="6" t="s">
        <v>80</v>
      </c>
      <c r="W37" s="6" t="s">
        <v>107</v>
      </c>
      <c r="X37" s="6" t="s">
        <v>120</v>
      </c>
      <c r="Y37" s="6" t="s">
        <v>122</v>
      </c>
      <c r="Z37" s="6" t="s">
        <v>84</v>
      </c>
      <c r="AA37" s="6">
        <v>7</v>
      </c>
      <c r="AB37" s="6">
        <v>2472.29</v>
      </c>
      <c r="AC37" s="6">
        <v>10</v>
      </c>
    </row>
    <row r="38" spans="1:29" x14ac:dyDescent="0.25">
      <c r="A38" s="6">
        <v>10194</v>
      </c>
      <c r="B38" s="6">
        <v>1690</v>
      </c>
      <c r="C38" s="11">
        <v>45180</v>
      </c>
      <c r="D38" s="11">
        <v>45182</v>
      </c>
      <c r="E38" s="6" t="s">
        <v>97</v>
      </c>
      <c r="F38" s="6" t="s">
        <v>104</v>
      </c>
      <c r="G38" s="6" t="s">
        <v>87</v>
      </c>
      <c r="H38" s="6" t="s">
        <v>88</v>
      </c>
      <c r="I38" s="6" t="s">
        <v>120</v>
      </c>
      <c r="J38" s="6" t="s">
        <v>122</v>
      </c>
      <c r="K38" s="6" t="s">
        <v>108</v>
      </c>
      <c r="L38" s="6">
        <v>2</v>
      </c>
      <c r="M38" s="6">
        <v>894.01</v>
      </c>
      <c r="N38" s="6">
        <v>15</v>
      </c>
      <c r="P38" s="6">
        <v>10264</v>
      </c>
      <c r="Q38" s="6">
        <v>1607</v>
      </c>
      <c r="R38" s="11">
        <v>45086</v>
      </c>
      <c r="S38" s="11">
        <v>45091</v>
      </c>
      <c r="T38" s="6" t="s">
        <v>78</v>
      </c>
      <c r="U38" s="6" t="s">
        <v>79</v>
      </c>
      <c r="V38" s="6" t="s">
        <v>93</v>
      </c>
      <c r="W38" s="6" t="s">
        <v>107</v>
      </c>
      <c r="X38" s="6" t="s">
        <v>115</v>
      </c>
      <c r="Y38" s="6" t="s">
        <v>123</v>
      </c>
      <c r="Z38" s="6" t="s">
        <v>110</v>
      </c>
      <c r="AA38" s="6">
        <v>4</v>
      </c>
      <c r="AB38" s="6">
        <v>1126.3</v>
      </c>
      <c r="AC38" s="6">
        <v>20</v>
      </c>
    </row>
    <row r="39" spans="1:29" x14ac:dyDescent="0.25">
      <c r="A39" s="6">
        <v>10239</v>
      </c>
      <c r="B39" s="6">
        <v>1384</v>
      </c>
      <c r="C39" s="11">
        <v>45146</v>
      </c>
      <c r="D39" s="11">
        <v>45149</v>
      </c>
      <c r="E39" s="6" t="s">
        <v>97</v>
      </c>
      <c r="F39" s="6" t="s">
        <v>104</v>
      </c>
      <c r="G39" s="6" t="s">
        <v>87</v>
      </c>
      <c r="H39" s="6" t="s">
        <v>88</v>
      </c>
      <c r="I39" s="6" t="s">
        <v>112</v>
      </c>
      <c r="J39" s="6" t="s">
        <v>126</v>
      </c>
      <c r="K39" s="6" t="s">
        <v>110</v>
      </c>
      <c r="L39" s="6">
        <v>2</v>
      </c>
      <c r="M39" s="6">
        <v>3960.56</v>
      </c>
      <c r="N39" s="6">
        <v>10</v>
      </c>
      <c r="P39" s="6">
        <v>10269</v>
      </c>
      <c r="Q39" s="6">
        <v>1829</v>
      </c>
      <c r="R39" s="11">
        <v>45125</v>
      </c>
      <c r="S39" s="11">
        <v>45132</v>
      </c>
      <c r="T39" s="6" t="s">
        <v>78</v>
      </c>
      <c r="U39" s="6" t="s">
        <v>104</v>
      </c>
      <c r="V39" s="6" t="s">
        <v>87</v>
      </c>
      <c r="W39" s="6" t="s">
        <v>98</v>
      </c>
      <c r="X39" s="6" t="s">
        <v>112</v>
      </c>
      <c r="Y39" s="6" t="s">
        <v>114</v>
      </c>
      <c r="Z39" s="6" t="s">
        <v>110</v>
      </c>
      <c r="AA39" s="6">
        <v>5</v>
      </c>
      <c r="AB39" s="6">
        <v>3156.54</v>
      </c>
      <c r="AC39" s="6">
        <v>20</v>
      </c>
    </row>
    <row r="40" spans="1:29" x14ac:dyDescent="0.25">
      <c r="A40" s="6">
        <v>10317</v>
      </c>
      <c r="B40" s="6">
        <v>1981</v>
      </c>
      <c r="C40" s="11">
        <v>45051</v>
      </c>
      <c r="D40" s="11">
        <v>45056</v>
      </c>
      <c r="E40" s="6" t="s">
        <v>97</v>
      </c>
      <c r="F40" s="6" t="s">
        <v>101</v>
      </c>
      <c r="G40" s="6" t="s">
        <v>87</v>
      </c>
      <c r="H40" s="6" t="s">
        <v>88</v>
      </c>
      <c r="I40" s="6" t="s">
        <v>112</v>
      </c>
      <c r="J40" s="6" t="s">
        <v>126</v>
      </c>
      <c r="K40" s="6" t="s">
        <v>110</v>
      </c>
      <c r="L40" s="6">
        <v>2</v>
      </c>
      <c r="M40" s="6">
        <v>788.72</v>
      </c>
      <c r="N40" s="6">
        <v>20</v>
      </c>
      <c r="P40" s="6">
        <v>10286</v>
      </c>
      <c r="Q40" s="6">
        <v>1641</v>
      </c>
      <c r="R40" s="11">
        <v>45043</v>
      </c>
      <c r="S40" s="11">
        <v>45050</v>
      </c>
      <c r="T40" s="6" t="s">
        <v>78</v>
      </c>
      <c r="U40" s="6" t="s">
        <v>92</v>
      </c>
      <c r="V40" s="6" t="s">
        <v>80</v>
      </c>
      <c r="W40" s="6" t="s">
        <v>107</v>
      </c>
      <c r="X40" s="6" t="s">
        <v>120</v>
      </c>
      <c r="Y40" s="6" t="s">
        <v>121</v>
      </c>
      <c r="Z40" s="6" t="s">
        <v>91</v>
      </c>
      <c r="AA40" s="6">
        <v>6</v>
      </c>
      <c r="AB40" s="6">
        <v>220.79</v>
      </c>
      <c r="AC40" s="6">
        <v>5</v>
      </c>
    </row>
    <row r="41" spans="1:29" x14ac:dyDescent="0.25">
      <c r="A41" s="6">
        <v>10004</v>
      </c>
      <c r="B41" s="6">
        <v>1270</v>
      </c>
      <c r="C41" s="11">
        <v>45079</v>
      </c>
      <c r="D41" s="11">
        <v>45087</v>
      </c>
      <c r="E41" s="6" t="s">
        <v>97</v>
      </c>
      <c r="F41" s="6" t="s">
        <v>92</v>
      </c>
      <c r="G41" s="6" t="s">
        <v>87</v>
      </c>
      <c r="H41" s="6" t="s">
        <v>98</v>
      </c>
      <c r="I41" s="6" t="s">
        <v>89</v>
      </c>
      <c r="J41" s="6" t="s">
        <v>99</v>
      </c>
      <c r="K41" s="6" t="s">
        <v>84</v>
      </c>
      <c r="L41" s="6">
        <v>1</v>
      </c>
      <c r="M41" s="6">
        <v>1008.79</v>
      </c>
      <c r="N41" s="6">
        <v>15</v>
      </c>
      <c r="P41" s="6">
        <v>10291</v>
      </c>
      <c r="Q41" s="6">
        <v>1735</v>
      </c>
      <c r="R41" s="11">
        <v>45007</v>
      </c>
      <c r="S41" s="11">
        <v>45008</v>
      </c>
      <c r="T41" s="6" t="s">
        <v>78</v>
      </c>
      <c r="U41" s="6" t="s">
        <v>117</v>
      </c>
      <c r="V41" s="6" t="s">
        <v>87</v>
      </c>
      <c r="W41" s="6" t="s">
        <v>88</v>
      </c>
      <c r="X41" s="6" t="s">
        <v>115</v>
      </c>
      <c r="Y41" s="6" t="s">
        <v>116</v>
      </c>
      <c r="Z41" s="6" t="s">
        <v>96</v>
      </c>
      <c r="AA41" s="6">
        <v>9</v>
      </c>
      <c r="AB41" s="6">
        <v>2661.11</v>
      </c>
      <c r="AC41" s="6">
        <v>10</v>
      </c>
    </row>
    <row r="42" spans="1:29" x14ac:dyDescent="0.25">
      <c r="A42" s="6">
        <v>10045</v>
      </c>
      <c r="B42" s="6">
        <v>1699</v>
      </c>
      <c r="C42" s="11">
        <v>45139</v>
      </c>
      <c r="D42" s="11">
        <v>45147</v>
      </c>
      <c r="E42" s="6" t="s">
        <v>97</v>
      </c>
      <c r="F42" s="6" t="s">
        <v>79</v>
      </c>
      <c r="G42" s="6" t="s">
        <v>80</v>
      </c>
      <c r="H42" s="6" t="s">
        <v>88</v>
      </c>
      <c r="I42" s="6" t="s">
        <v>89</v>
      </c>
      <c r="J42" s="6" t="s">
        <v>124</v>
      </c>
      <c r="K42" s="6" t="s">
        <v>110</v>
      </c>
      <c r="L42" s="6">
        <v>1</v>
      </c>
      <c r="M42" s="6">
        <v>2764.92</v>
      </c>
      <c r="N42" s="6">
        <v>0</v>
      </c>
      <c r="P42" s="6">
        <v>10307</v>
      </c>
      <c r="Q42" s="6">
        <v>1183</v>
      </c>
      <c r="R42" s="11">
        <v>45267</v>
      </c>
      <c r="S42" s="11">
        <v>45273</v>
      </c>
      <c r="T42" s="6" t="s">
        <v>78</v>
      </c>
      <c r="U42" s="6" t="s">
        <v>79</v>
      </c>
      <c r="V42" s="6" t="s">
        <v>87</v>
      </c>
      <c r="W42" s="6" t="s">
        <v>105</v>
      </c>
      <c r="X42" s="6" t="s">
        <v>120</v>
      </c>
      <c r="Y42" s="6" t="s">
        <v>121</v>
      </c>
      <c r="Z42" s="6" t="s">
        <v>91</v>
      </c>
      <c r="AA42" s="6">
        <v>4</v>
      </c>
      <c r="AB42" s="6">
        <v>2008.45</v>
      </c>
      <c r="AC42" s="6">
        <v>5</v>
      </c>
    </row>
    <row r="43" spans="1:29" x14ac:dyDescent="0.25">
      <c r="A43" s="6">
        <v>10295</v>
      </c>
      <c r="B43" s="6">
        <v>1637</v>
      </c>
      <c r="C43" s="11">
        <v>45280</v>
      </c>
      <c r="D43" s="11">
        <v>45284</v>
      </c>
      <c r="E43" s="6" t="s">
        <v>97</v>
      </c>
      <c r="F43" s="6" t="s">
        <v>86</v>
      </c>
      <c r="G43" s="6" t="s">
        <v>87</v>
      </c>
      <c r="H43" s="6" t="s">
        <v>105</v>
      </c>
      <c r="I43" s="6" t="s">
        <v>94</v>
      </c>
      <c r="J43" s="6" t="s">
        <v>111</v>
      </c>
      <c r="K43" s="6" t="s">
        <v>96</v>
      </c>
      <c r="L43" s="6">
        <v>1</v>
      </c>
      <c r="M43" s="6">
        <v>619.73</v>
      </c>
      <c r="N43" s="6">
        <v>0</v>
      </c>
      <c r="P43" s="6">
        <v>10318</v>
      </c>
      <c r="Q43" s="6">
        <v>1906</v>
      </c>
      <c r="R43" s="11">
        <v>45093</v>
      </c>
      <c r="S43" s="11">
        <v>45097</v>
      </c>
      <c r="T43" s="6" t="s">
        <v>78</v>
      </c>
      <c r="U43" s="6" t="s">
        <v>86</v>
      </c>
      <c r="V43" s="6" t="s">
        <v>93</v>
      </c>
      <c r="W43" s="6" t="s">
        <v>98</v>
      </c>
      <c r="X43" s="6" t="s">
        <v>112</v>
      </c>
      <c r="Y43" s="6" t="s">
        <v>130</v>
      </c>
      <c r="Z43" s="6" t="s">
        <v>84</v>
      </c>
      <c r="AA43" s="6">
        <v>7</v>
      </c>
      <c r="AB43" s="6">
        <v>245.03</v>
      </c>
      <c r="AC43" s="6">
        <v>0</v>
      </c>
    </row>
    <row r="44" spans="1:29" x14ac:dyDescent="0.25">
      <c r="A44" s="6">
        <v>10309</v>
      </c>
      <c r="B44" s="6">
        <v>1400</v>
      </c>
      <c r="C44" s="11">
        <v>44928</v>
      </c>
      <c r="D44" s="11">
        <v>44936</v>
      </c>
      <c r="E44" s="6" t="s">
        <v>97</v>
      </c>
      <c r="F44" s="6" t="s">
        <v>92</v>
      </c>
      <c r="G44" s="6" t="s">
        <v>93</v>
      </c>
      <c r="H44" s="6" t="s">
        <v>107</v>
      </c>
      <c r="I44" s="6" t="s">
        <v>112</v>
      </c>
      <c r="J44" s="6" t="s">
        <v>114</v>
      </c>
      <c r="K44" s="6" t="s">
        <v>110</v>
      </c>
      <c r="L44" s="6">
        <v>1</v>
      </c>
      <c r="M44" s="6">
        <v>2740.46</v>
      </c>
      <c r="N44" s="6">
        <v>10</v>
      </c>
      <c r="P44" s="6">
        <v>10320</v>
      </c>
      <c r="Q44" s="6">
        <v>1751</v>
      </c>
      <c r="R44" s="11">
        <v>45002</v>
      </c>
      <c r="S44" s="11">
        <v>45005</v>
      </c>
      <c r="T44" s="6" t="s">
        <v>78</v>
      </c>
      <c r="U44" s="6" t="s">
        <v>79</v>
      </c>
      <c r="V44" s="6" t="s">
        <v>80</v>
      </c>
      <c r="W44" s="6" t="s">
        <v>98</v>
      </c>
      <c r="X44" s="6" t="s">
        <v>89</v>
      </c>
      <c r="Y44" s="6" t="s">
        <v>99</v>
      </c>
      <c r="Z44" s="6" t="s">
        <v>91</v>
      </c>
      <c r="AA44" s="6">
        <v>8</v>
      </c>
      <c r="AB44" s="6">
        <v>2254.7800000000002</v>
      </c>
      <c r="AC44" s="6">
        <v>0</v>
      </c>
    </row>
    <row r="45" spans="1:29" x14ac:dyDescent="0.25">
      <c r="A45" s="6">
        <v>10345</v>
      </c>
      <c r="B45" s="6">
        <v>1935</v>
      </c>
      <c r="C45" s="11">
        <v>44984</v>
      </c>
      <c r="D45" s="11">
        <v>44993</v>
      </c>
      <c r="E45" s="6" t="s">
        <v>97</v>
      </c>
      <c r="F45" s="6" t="s">
        <v>92</v>
      </c>
      <c r="G45" s="6" t="s">
        <v>93</v>
      </c>
      <c r="H45" s="6" t="s">
        <v>105</v>
      </c>
      <c r="I45" s="6" t="s">
        <v>89</v>
      </c>
      <c r="J45" s="6" t="s">
        <v>99</v>
      </c>
      <c r="K45" s="6" t="s">
        <v>108</v>
      </c>
      <c r="L45" s="6">
        <v>1</v>
      </c>
      <c r="M45" s="6">
        <v>3625.42</v>
      </c>
      <c r="N45" s="6">
        <v>10</v>
      </c>
      <c r="P45" s="6">
        <v>10322</v>
      </c>
      <c r="Q45" s="6">
        <v>1608</v>
      </c>
      <c r="R45" s="11">
        <v>45220</v>
      </c>
      <c r="S45" s="11">
        <v>45222</v>
      </c>
      <c r="T45" s="6" t="s">
        <v>78</v>
      </c>
      <c r="U45" s="6" t="s">
        <v>117</v>
      </c>
      <c r="V45" s="6" t="s">
        <v>93</v>
      </c>
      <c r="W45" s="6" t="s">
        <v>98</v>
      </c>
      <c r="X45" s="6" t="s">
        <v>89</v>
      </c>
      <c r="Y45" s="6" t="s">
        <v>124</v>
      </c>
      <c r="Z45" s="6" t="s">
        <v>91</v>
      </c>
      <c r="AA45" s="6">
        <v>5</v>
      </c>
      <c r="AB45" s="6">
        <v>640.82000000000005</v>
      </c>
      <c r="AC45" s="6">
        <v>0</v>
      </c>
    </row>
    <row r="46" spans="1:29" x14ac:dyDescent="0.25">
      <c r="A46" s="6">
        <v>10291</v>
      </c>
      <c r="B46" s="6">
        <v>1735</v>
      </c>
      <c r="C46" s="11">
        <v>45007</v>
      </c>
      <c r="D46" s="11">
        <v>45008</v>
      </c>
      <c r="E46" s="6" t="s">
        <v>78</v>
      </c>
      <c r="F46" s="6" t="s">
        <v>117</v>
      </c>
      <c r="G46" s="6" t="s">
        <v>87</v>
      </c>
      <c r="H46" s="6" t="s">
        <v>88</v>
      </c>
      <c r="I46" s="6" t="s">
        <v>115</v>
      </c>
      <c r="J46" s="6" t="s">
        <v>116</v>
      </c>
      <c r="K46" s="6" t="s">
        <v>96</v>
      </c>
      <c r="L46" s="6">
        <v>9</v>
      </c>
      <c r="M46" s="6">
        <v>2661.11</v>
      </c>
      <c r="N46" s="6">
        <v>10</v>
      </c>
      <c r="P46" s="6">
        <v>10332</v>
      </c>
      <c r="Q46" s="6">
        <v>1954</v>
      </c>
      <c r="R46" s="11">
        <v>44946</v>
      </c>
      <c r="S46" s="11">
        <v>44955</v>
      </c>
      <c r="T46" s="6" t="s">
        <v>78</v>
      </c>
      <c r="U46" s="6" t="s">
        <v>86</v>
      </c>
      <c r="V46" s="6" t="s">
        <v>80</v>
      </c>
      <c r="W46" s="6" t="s">
        <v>105</v>
      </c>
      <c r="X46" s="6" t="s">
        <v>120</v>
      </c>
      <c r="Y46" s="6" t="s">
        <v>129</v>
      </c>
      <c r="Z46" s="6" t="s">
        <v>84</v>
      </c>
      <c r="AA46" s="6">
        <v>2</v>
      </c>
      <c r="AB46" s="6">
        <v>1335.36</v>
      </c>
      <c r="AC46" s="6">
        <v>5</v>
      </c>
    </row>
    <row r="47" spans="1:29" x14ac:dyDescent="0.25">
      <c r="A47" s="6">
        <v>10442</v>
      </c>
      <c r="B47" s="6">
        <v>1364</v>
      </c>
      <c r="C47" s="11">
        <v>45089</v>
      </c>
      <c r="D47" s="11">
        <v>45094</v>
      </c>
      <c r="E47" s="6" t="s">
        <v>78</v>
      </c>
      <c r="F47" s="6" t="s">
        <v>86</v>
      </c>
      <c r="G47" s="6" t="s">
        <v>87</v>
      </c>
      <c r="H47" s="6" t="s">
        <v>98</v>
      </c>
      <c r="I47" s="6" t="s">
        <v>120</v>
      </c>
      <c r="J47" s="6" t="s">
        <v>121</v>
      </c>
      <c r="K47" s="6" t="s">
        <v>108</v>
      </c>
      <c r="L47" s="6">
        <v>9</v>
      </c>
      <c r="M47" s="6">
        <v>2969.7</v>
      </c>
      <c r="N47" s="6">
        <v>10</v>
      </c>
      <c r="P47" s="6">
        <v>10339</v>
      </c>
      <c r="Q47" s="6">
        <v>1147</v>
      </c>
      <c r="R47" s="11">
        <v>45005</v>
      </c>
      <c r="S47" s="11">
        <v>45012</v>
      </c>
      <c r="T47" s="6" t="s">
        <v>78</v>
      </c>
      <c r="U47" s="6" t="s">
        <v>117</v>
      </c>
      <c r="V47" s="6" t="s">
        <v>80</v>
      </c>
      <c r="W47" s="6" t="s">
        <v>88</v>
      </c>
      <c r="X47" s="6" t="s">
        <v>94</v>
      </c>
      <c r="Y47" s="6" t="s">
        <v>95</v>
      </c>
      <c r="Z47" s="6" t="s">
        <v>84</v>
      </c>
      <c r="AA47" s="6">
        <v>4</v>
      </c>
      <c r="AB47" s="6">
        <v>3708.51</v>
      </c>
      <c r="AC47" s="6">
        <v>5</v>
      </c>
    </row>
    <row r="48" spans="1:29" x14ac:dyDescent="0.25">
      <c r="A48" s="6">
        <v>10066</v>
      </c>
      <c r="B48" s="6">
        <v>1387</v>
      </c>
      <c r="C48" s="11">
        <v>45155</v>
      </c>
      <c r="D48" s="11">
        <v>45158</v>
      </c>
      <c r="E48" s="6" t="s">
        <v>78</v>
      </c>
      <c r="F48" s="6" t="s">
        <v>86</v>
      </c>
      <c r="G48" s="6" t="s">
        <v>80</v>
      </c>
      <c r="H48" s="6" t="s">
        <v>98</v>
      </c>
      <c r="I48" s="6" t="s">
        <v>120</v>
      </c>
      <c r="J48" s="6" t="s">
        <v>129</v>
      </c>
      <c r="K48" s="6" t="s">
        <v>108</v>
      </c>
      <c r="L48" s="6">
        <v>8</v>
      </c>
      <c r="M48" s="6">
        <v>3769.71</v>
      </c>
      <c r="N48" s="6">
        <v>5</v>
      </c>
      <c r="P48" s="6">
        <v>10342</v>
      </c>
      <c r="Q48" s="6">
        <v>1819</v>
      </c>
      <c r="R48" s="11">
        <v>45018</v>
      </c>
      <c r="S48" s="11">
        <v>45019</v>
      </c>
      <c r="T48" s="6" t="s">
        <v>78</v>
      </c>
      <c r="U48" s="6" t="s">
        <v>117</v>
      </c>
      <c r="V48" s="6" t="s">
        <v>80</v>
      </c>
      <c r="W48" s="6" t="s">
        <v>98</v>
      </c>
      <c r="X48" s="6" t="s">
        <v>89</v>
      </c>
      <c r="Y48" s="6" t="s">
        <v>90</v>
      </c>
      <c r="Z48" s="6" t="s">
        <v>110</v>
      </c>
      <c r="AA48" s="6">
        <v>5</v>
      </c>
      <c r="AB48" s="6">
        <v>1853.11</v>
      </c>
      <c r="AC48" s="6">
        <v>10</v>
      </c>
    </row>
    <row r="49" spans="1:29" x14ac:dyDescent="0.25">
      <c r="A49" s="6">
        <v>10171</v>
      </c>
      <c r="B49" s="6">
        <v>1986</v>
      </c>
      <c r="C49" s="11">
        <v>45227</v>
      </c>
      <c r="D49" s="11">
        <v>45228</v>
      </c>
      <c r="E49" s="6" t="s">
        <v>78</v>
      </c>
      <c r="F49" s="6" t="s">
        <v>104</v>
      </c>
      <c r="G49" s="6" t="s">
        <v>87</v>
      </c>
      <c r="H49" s="6" t="s">
        <v>81</v>
      </c>
      <c r="I49" s="6" t="s">
        <v>82</v>
      </c>
      <c r="J49" s="6" t="s">
        <v>106</v>
      </c>
      <c r="K49" s="6" t="s">
        <v>84</v>
      </c>
      <c r="L49" s="6">
        <v>8</v>
      </c>
      <c r="M49" s="6">
        <v>3795.01</v>
      </c>
      <c r="N49" s="6">
        <v>5</v>
      </c>
      <c r="P49" s="6">
        <v>10347</v>
      </c>
      <c r="Q49" s="6">
        <v>1550</v>
      </c>
      <c r="R49" s="11">
        <v>44952</v>
      </c>
      <c r="S49" s="11">
        <v>44954</v>
      </c>
      <c r="T49" s="6" t="s">
        <v>78</v>
      </c>
      <c r="U49" s="6" t="s">
        <v>92</v>
      </c>
      <c r="V49" s="6" t="s">
        <v>87</v>
      </c>
      <c r="W49" s="6" t="s">
        <v>107</v>
      </c>
      <c r="X49" s="6" t="s">
        <v>82</v>
      </c>
      <c r="Y49" s="6" t="s">
        <v>83</v>
      </c>
      <c r="Z49" s="6" t="s">
        <v>108</v>
      </c>
      <c r="AA49" s="6">
        <v>4</v>
      </c>
      <c r="AB49" s="6">
        <v>640.37</v>
      </c>
      <c r="AC49" s="6">
        <v>20</v>
      </c>
    </row>
    <row r="50" spans="1:29" x14ac:dyDescent="0.25">
      <c r="A50" s="6">
        <v>10180</v>
      </c>
      <c r="B50" s="6">
        <v>1004</v>
      </c>
      <c r="C50" s="11">
        <v>45004</v>
      </c>
      <c r="D50" s="11">
        <v>45006</v>
      </c>
      <c r="E50" s="6" t="s">
        <v>78</v>
      </c>
      <c r="F50" s="6" t="s">
        <v>92</v>
      </c>
      <c r="G50" s="6" t="s">
        <v>80</v>
      </c>
      <c r="H50" s="6" t="s">
        <v>98</v>
      </c>
      <c r="I50" s="6" t="s">
        <v>82</v>
      </c>
      <c r="J50" s="6" t="s">
        <v>106</v>
      </c>
      <c r="K50" s="6" t="s">
        <v>108</v>
      </c>
      <c r="L50" s="6">
        <v>8</v>
      </c>
      <c r="M50" s="6">
        <v>2211.17</v>
      </c>
      <c r="N50" s="6">
        <v>10</v>
      </c>
      <c r="P50" s="6">
        <v>10350</v>
      </c>
      <c r="Q50" s="6">
        <v>1640</v>
      </c>
      <c r="R50" s="11">
        <v>45180</v>
      </c>
      <c r="S50" s="11">
        <v>45185</v>
      </c>
      <c r="T50" s="6" t="s">
        <v>78</v>
      </c>
      <c r="U50" s="6" t="s">
        <v>104</v>
      </c>
      <c r="V50" s="6" t="s">
        <v>80</v>
      </c>
      <c r="W50" s="6" t="s">
        <v>107</v>
      </c>
      <c r="X50" s="6" t="s">
        <v>120</v>
      </c>
      <c r="Y50" s="6" t="s">
        <v>125</v>
      </c>
      <c r="Z50" s="6" t="s">
        <v>84</v>
      </c>
      <c r="AA50" s="6">
        <v>1</v>
      </c>
      <c r="AB50" s="6">
        <v>3708.38</v>
      </c>
      <c r="AC50" s="6">
        <v>20</v>
      </c>
    </row>
    <row r="51" spans="1:29" x14ac:dyDescent="0.25">
      <c r="A51" s="6">
        <v>10210</v>
      </c>
      <c r="B51" s="6">
        <v>1035</v>
      </c>
      <c r="C51" s="11">
        <v>45282</v>
      </c>
      <c r="D51" s="11">
        <v>45284</v>
      </c>
      <c r="E51" s="6" t="s">
        <v>78</v>
      </c>
      <c r="F51" s="6" t="s">
        <v>117</v>
      </c>
      <c r="G51" s="6" t="s">
        <v>93</v>
      </c>
      <c r="H51" s="6" t="s">
        <v>81</v>
      </c>
      <c r="I51" s="6" t="s">
        <v>82</v>
      </c>
      <c r="J51" s="6" t="s">
        <v>83</v>
      </c>
      <c r="K51" s="6" t="s">
        <v>108</v>
      </c>
      <c r="L51" s="6">
        <v>8</v>
      </c>
      <c r="M51" s="6">
        <v>3656.59</v>
      </c>
      <c r="N51" s="6">
        <v>15</v>
      </c>
      <c r="P51" s="6">
        <v>10358</v>
      </c>
      <c r="Q51" s="6">
        <v>1989</v>
      </c>
      <c r="R51" s="11">
        <v>45015</v>
      </c>
      <c r="S51" s="11">
        <v>45019</v>
      </c>
      <c r="T51" s="6" t="s">
        <v>78</v>
      </c>
      <c r="U51" s="6" t="s">
        <v>92</v>
      </c>
      <c r="V51" s="6" t="s">
        <v>93</v>
      </c>
      <c r="W51" s="6" t="s">
        <v>98</v>
      </c>
      <c r="X51" s="6" t="s">
        <v>120</v>
      </c>
      <c r="Y51" s="6" t="s">
        <v>121</v>
      </c>
      <c r="Z51" s="6" t="s">
        <v>96</v>
      </c>
      <c r="AA51" s="6">
        <v>8</v>
      </c>
      <c r="AB51" s="6">
        <v>3581.12</v>
      </c>
      <c r="AC51" s="6">
        <v>15</v>
      </c>
    </row>
    <row r="52" spans="1:29" x14ac:dyDescent="0.25">
      <c r="A52" s="6">
        <v>10245</v>
      </c>
      <c r="B52" s="6">
        <v>1972</v>
      </c>
      <c r="C52" s="11">
        <v>45143</v>
      </c>
      <c r="D52" s="11">
        <v>45148</v>
      </c>
      <c r="E52" s="6" t="s">
        <v>78</v>
      </c>
      <c r="F52" s="6" t="s">
        <v>79</v>
      </c>
      <c r="G52" s="6" t="s">
        <v>93</v>
      </c>
      <c r="H52" s="6" t="s">
        <v>105</v>
      </c>
      <c r="I52" s="6" t="s">
        <v>112</v>
      </c>
      <c r="J52" s="6" t="s">
        <v>114</v>
      </c>
      <c r="K52" s="6" t="s">
        <v>110</v>
      </c>
      <c r="L52" s="6">
        <v>8</v>
      </c>
      <c r="M52" s="6">
        <v>1504.45</v>
      </c>
      <c r="N52" s="6">
        <v>20</v>
      </c>
      <c r="P52" s="6">
        <v>10366</v>
      </c>
      <c r="Q52" s="6">
        <v>1571</v>
      </c>
      <c r="R52" s="11">
        <v>45223</v>
      </c>
      <c r="S52" s="11">
        <v>45226</v>
      </c>
      <c r="T52" s="6" t="s">
        <v>78</v>
      </c>
      <c r="U52" s="6" t="s">
        <v>79</v>
      </c>
      <c r="V52" s="6" t="s">
        <v>87</v>
      </c>
      <c r="W52" s="6" t="s">
        <v>105</v>
      </c>
      <c r="X52" s="6" t="s">
        <v>112</v>
      </c>
      <c r="Y52" s="6" t="s">
        <v>126</v>
      </c>
      <c r="Z52" s="6" t="s">
        <v>84</v>
      </c>
      <c r="AA52" s="6">
        <v>5</v>
      </c>
      <c r="AB52" s="6">
        <v>3320.88</v>
      </c>
      <c r="AC52" s="6">
        <v>0</v>
      </c>
    </row>
    <row r="53" spans="1:29" x14ac:dyDescent="0.25">
      <c r="A53" s="6">
        <v>10320</v>
      </c>
      <c r="B53" s="6">
        <v>1751</v>
      </c>
      <c r="C53" s="11">
        <v>45002</v>
      </c>
      <c r="D53" s="11">
        <v>45005</v>
      </c>
      <c r="E53" s="6" t="s">
        <v>78</v>
      </c>
      <c r="F53" s="6" t="s">
        <v>79</v>
      </c>
      <c r="G53" s="6" t="s">
        <v>80</v>
      </c>
      <c r="H53" s="6" t="s">
        <v>98</v>
      </c>
      <c r="I53" s="6" t="s">
        <v>89</v>
      </c>
      <c r="J53" s="6" t="s">
        <v>99</v>
      </c>
      <c r="K53" s="6" t="s">
        <v>91</v>
      </c>
      <c r="L53" s="6">
        <v>8</v>
      </c>
      <c r="M53" s="6">
        <v>2254.7800000000002</v>
      </c>
      <c r="N53" s="6">
        <v>0</v>
      </c>
      <c r="P53" s="6">
        <v>10379</v>
      </c>
      <c r="Q53" s="6">
        <v>1658</v>
      </c>
      <c r="R53" s="11">
        <v>45262</v>
      </c>
      <c r="S53" s="11">
        <v>45270</v>
      </c>
      <c r="T53" s="6" t="s">
        <v>78</v>
      </c>
      <c r="U53" s="6" t="s">
        <v>79</v>
      </c>
      <c r="V53" s="6" t="s">
        <v>87</v>
      </c>
      <c r="W53" s="6" t="s">
        <v>98</v>
      </c>
      <c r="X53" s="6" t="s">
        <v>89</v>
      </c>
      <c r="Y53" s="6" t="s">
        <v>131</v>
      </c>
      <c r="Z53" s="6" t="s">
        <v>108</v>
      </c>
      <c r="AA53" s="6">
        <v>1</v>
      </c>
      <c r="AB53" s="6">
        <v>3910.66</v>
      </c>
      <c r="AC53" s="6">
        <v>5</v>
      </c>
    </row>
    <row r="54" spans="1:29" x14ac:dyDescent="0.25">
      <c r="A54" s="6">
        <v>10358</v>
      </c>
      <c r="B54" s="6">
        <v>1989</v>
      </c>
      <c r="C54" s="11">
        <v>45015</v>
      </c>
      <c r="D54" s="11">
        <v>45019</v>
      </c>
      <c r="E54" s="6" t="s">
        <v>78</v>
      </c>
      <c r="F54" s="6" t="s">
        <v>92</v>
      </c>
      <c r="G54" s="6" t="s">
        <v>93</v>
      </c>
      <c r="H54" s="6" t="s">
        <v>98</v>
      </c>
      <c r="I54" s="6" t="s">
        <v>120</v>
      </c>
      <c r="J54" s="6" t="s">
        <v>121</v>
      </c>
      <c r="K54" s="6" t="s">
        <v>96</v>
      </c>
      <c r="L54" s="6">
        <v>8</v>
      </c>
      <c r="M54" s="6">
        <v>3581.12</v>
      </c>
      <c r="N54" s="6">
        <v>15</v>
      </c>
      <c r="P54" s="6">
        <v>10386</v>
      </c>
      <c r="Q54" s="6">
        <v>1119</v>
      </c>
      <c r="R54" s="11">
        <v>45146</v>
      </c>
      <c r="S54" s="11">
        <v>45154</v>
      </c>
      <c r="T54" s="6" t="s">
        <v>78</v>
      </c>
      <c r="U54" s="6" t="s">
        <v>86</v>
      </c>
      <c r="V54" s="6" t="s">
        <v>87</v>
      </c>
      <c r="W54" s="6" t="s">
        <v>107</v>
      </c>
      <c r="X54" s="6" t="s">
        <v>112</v>
      </c>
      <c r="Y54" s="6" t="s">
        <v>130</v>
      </c>
      <c r="Z54" s="6" t="s">
        <v>91</v>
      </c>
      <c r="AA54" s="6">
        <v>2</v>
      </c>
      <c r="AB54" s="6">
        <v>1984.38</v>
      </c>
      <c r="AC54" s="6">
        <v>10</v>
      </c>
    </row>
    <row r="55" spans="1:29" x14ac:dyDescent="0.25">
      <c r="A55" s="6">
        <v>10495</v>
      </c>
      <c r="B55" s="6">
        <v>1127</v>
      </c>
      <c r="C55" s="11">
        <v>45060</v>
      </c>
      <c r="D55" s="11">
        <v>45063</v>
      </c>
      <c r="E55" s="6" t="s">
        <v>78</v>
      </c>
      <c r="F55" s="6" t="s">
        <v>86</v>
      </c>
      <c r="G55" s="6" t="s">
        <v>93</v>
      </c>
      <c r="H55" s="6" t="s">
        <v>88</v>
      </c>
      <c r="I55" s="6" t="s">
        <v>120</v>
      </c>
      <c r="J55" s="6" t="s">
        <v>122</v>
      </c>
      <c r="K55" s="6" t="s">
        <v>108</v>
      </c>
      <c r="L55" s="6">
        <v>8</v>
      </c>
      <c r="M55" s="6">
        <v>598.44000000000005</v>
      </c>
      <c r="N55" s="6">
        <v>0</v>
      </c>
      <c r="P55" s="6">
        <v>10435</v>
      </c>
      <c r="Q55" s="6">
        <v>1469</v>
      </c>
      <c r="R55" s="11">
        <v>45002</v>
      </c>
      <c r="S55" s="11">
        <v>45009</v>
      </c>
      <c r="T55" s="6" t="s">
        <v>78</v>
      </c>
      <c r="U55" s="6" t="s">
        <v>92</v>
      </c>
      <c r="V55" s="6" t="s">
        <v>87</v>
      </c>
      <c r="W55" s="6" t="s">
        <v>107</v>
      </c>
      <c r="X55" s="6" t="s">
        <v>115</v>
      </c>
      <c r="Y55" s="6" t="s">
        <v>119</v>
      </c>
      <c r="Z55" s="6" t="s">
        <v>84</v>
      </c>
      <c r="AA55" s="6">
        <v>3</v>
      </c>
      <c r="AB55" s="6">
        <v>3644.78</v>
      </c>
      <c r="AC55" s="6">
        <v>0</v>
      </c>
    </row>
    <row r="56" spans="1:29" x14ac:dyDescent="0.25">
      <c r="A56" s="6">
        <v>10001</v>
      </c>
      <c r="B56" s="6">
        <v>1102</v>
      </c>
      <c r="C56" s="11">
        <v>45197</v>
      </c>
      <c r="D56" s="11">
        <v>45203</v>
      </c>
      <c r="E56" s="6" t="s">
        <v>78</v>
      </c>
      <c r="F56" s="6" t="s">
        <v>79</v>
      </c>
      <c r="G56" s="6" t="s">
        <v>80</v>
      </c>
      <c r="H56" s="6" t="s">
        <v>81</v>
      </c>
      <c r="I56" s="6" t="s">
        <v>82</v>
      </c>
      <c r="J56" s="6" t="s">
        <v>83</v>
      </c>
      <c r="K56" s="6" t="s">
        <v>84</v>
      </c>
      <c r="L56" s="6">
        <v>7</v>
      </c>
      <c r="M56" s="6">
        <v>2843.87</v>
      </c>
      <c r="N56" s="6">
        <v>0</v>
      </c>
      <c r="P56" s="6">
        <v>10436</v>
      </c>
      <c r="Q56" s="6">
        <v>1374</v>
      </c>
      <c r="R56" s="11">
        <v>45212</v>
      </c>
      <c r="S56" s="11">
        <v>45213</v>
      </c>
      <c r="T56" s="6" t="s">
        <v>78</v>
      </c>
      <c r="U56" s="6" t="s">
        <v>86</v>
      </c>
      <c r="V56" s="6" t="s">
        <v>93</v>
      </c>
      <c r="W56" s="6" t="s">
        <v>81</v>
      </c>
      <c r="X56" s="6" t="s">
        <v>115</v>
      </c>
      <c r="Y56" s="6" t="s">
        <v>123</v>
      </c>
      <c r="Z56" s="6" t="s">
        <v>84</v>
      </c>
      <c r="AA56" s="6">
        <v>3</v>
      </c>
      <c r="AB56" s="6">
        <v>3986.78</v>
      </c>
      <c r="AC56" s="6">
        <v>20</v>
      </c>
    </row>
    <row r="57" spans="1:29" x14ac:dyDescent="0.25">
      <c r="A57" s="6">
        <v>10183</v>
      </c>
      <c r="B57" s="6">
        <v>1766</v>
      </c>
      <c r="C57" s="11">
        <v>45285</v>
      </c>
      <c r="D57" s="11">
        <v>45294</v>
      </c>
      <c r="E57" s="6" t="s">
        <v>78</v>
      </c>
      <c r="F57" s="6" t="s">
        <v>86</v>
      </c>
      <c r="G57" s="6" t="s">
        <v>93</v>
      </c>
      <c r="H57" s="6" t="s">
        <v>81</v>
      </c>
      <c r="I57" s="6" t="s">
        <v>94</v>
      </c>
      <c r="J57" s="6" t="s">
        <v>102</v>
      </c>
      <c r="K57" s="6" t="s">
        <v>110</v>
      </c>
      <c r="L57" s="6">
        <v>7</v>
      </c>
      <c r="M57" s="6">
        <v>658.07</v>
      </c>
      <c r="N57" s="6">
        <v>20</v>
      </c>
      <c r="P57" s="6">
        <v>10442</v>
      </c>
      <c r="Q57" s="6">
        <v>1364</v>
      </c>
      <c r="R57" s="11">
        <v>45089</v>
      </c>
      <c r="S57" s="11">
        <v>45094</v>
      </c>
      <c r="T57" s="6" t="s">
        <v>78</v>
      </c>
      <c r="U57" s="6" t="s">
        <v>86</v>
      </c>
      <c r="V57" s="6" t="s">
        <v>87</v>
      </c>
      <c r="W57" s="6" t="s">
        <v>98</v>
      </c>
      <c r="X57" s="6" t="s">
        <v>120</v>
      </c>
      <c r="Y57" s="6" t="s">
        <v>121</v>
      </c>
      <c r="Z57" s="6" t="s">
        <v>108</v>
      </c>
      <c r="AA57" s="6">
        <v>9</v>
      </c>
      <c r="AB57" s="6">
        <v>2969.7</v>
      </c>
      <c r="AC57" s="6">
        <v>10</v>
      </c>
    </row>
    <row r="58" spans="1:29" x14ac:dyDescent="0.25">
      <c r="A58" s="6">
        <v>10247</v>
      </c>
      <c r="B58" s="6">
        <v>1258</v>
      </c>
      <c r="C58" s="11">
        <v>44996</v>
      </c>
      <c r="D58" s="11">
        <v>44998</v>
      </c>
      <c r="E58" s="6" t="s">
        <v>78</v>
      </c>
      <c r="F58" s="6" t="s">
        <v>117</v>
      </c>
      <c r="G58" s="6" t="s">
        <v>93</v>
      </c>
      <c r="H58" s="6" t="s">
        <v>98</v>
      </c>
      <c r="I58" s="6" t="s">
        <v>115</v>
      </c>
      <c r="J58" s="6" t="s">
        <v>127</v>
      </c>
      <c r="K58" s="6" t="s">
        <v>110</v>
      </c>
      <c r="L58" s="6">
        <v>7</v>
      </c>
      <c r="M58" s="6">
        <v>2102.27</v>
      </c>
      <c r="N58" s="6">
        <v>20</v>
      </c>
      <c r="P58" s="6">
        <v>10455</v>
      </c>
      <c r="Q58" s="6">
        <v>1480</v>
      </c>
      <c r="R58" s="11">
        <v>45034</v>
      </c>
      <c r="S58" s="11">
        <v>45036</v>
      </c>
      <c r="T58" s="6" t="s">
        <v>78</v>
      </c>
      <c r="U58" s="6" t="s">
        <v>92</v>
      </c>
      <c r="V58" s="6" t="s">
        <v>80</v>
      </c>
      <c r="W58" s="6" t="s">
        <v>81</v>
      </c>
      <c r="X58" s="6" t="s">
        <v>115</v>
      </c>
      <c r="Y58" s="6" t="s">
        <v>127</v>
      </c>
      <c r="Z58" s="6" t="s">
        <v>108</v>
      </c>
      <c r="AA58" s="6">
        <v>2</v>
      </c>
      <c r="AB58" s="6">
        <v>1374.23</v>
      </c>
      <c r="AC58" s="6">
        <v>0</v>
      </c>
    </row>
    <row r="59" spans="1:29" x14ac:dyDescent="0.25">
      <c r="A59" s="6">
        <v>10262</v>
      </c>
      <c r="B59" s="6">
        <v>1373</v>
      </c>
      <c r="C59" s="11">
        <v>44996</v>
      </c>
      <c r="D59" s="11">
        <v>44998</v>
      </c>
      <c r="E59" s="6" t="s">
        <v>78</v>
      </c>
      <c r="F59" s="6" t="s">
        <v>86</v>
      </c>
      <c r="G59" s="6" t="s">
        <v>80</v>
      </c>
      <c r="H59" s="6" t="s">
        <v>107</v>
      </c>
      <c r="I59" s="6" t="s">
        <v>120</v>
      </c>
      <c r="J59" s="6" t="s">
        <v>122</v>
      </c>
      <c r="K59" s="6" t="s">
        <v>84</v>
      </c>
      <c r="L59" s="6">
        <v>7</v>
      </c>
      <c r="M59" s="6">
        <v>2472.29</v>
      </c>
      <c r="N59" s="6">
        <v>10</v>
      </c>
      <c r="P59" s="6">
        <v>10472</v>
      </c>
      <c r="Q59" s="6">
        <v>1517</v>
      </c>
      <c r="R59" s="11">
        <v>45269</v>
      </c>
      <c r="S59" s="11">
        <v>45278</v>
      </c>
      <c r="T59" s="6" t="s">
        <v>78</v>
      </c>
      <c r="U59" s="6" t="s">
        <v>117</v>
      </c>
      <c r="V59" s="6" t="s">
        <v>93</v>
      </c>
      <c r="W59" s="6" t="s">
        <v>98</v>
      </c>
      <c r="X59" s="6" t="s">
        <v>94</v>
      </c>
      <c r="Y59" s="6" t="s">
        <v>111</v>
      </c>
      <c r="Z59" s="6" t="s">
        <v>91</v>
      </c>
      <c r="AA59" s="6">
        <v>5</v>
      </c>
      <c r="AB59" s="6">
        <v>2523.25</v>
      </c>
      <c r="AC59" s="6">
        <v>10</v>
      </c>
    </row>
    <row r="60" spans="1:29" x14ac:dyDescent="0.25">
      <c r="A60" s="6">
        <v>10318</v>
      </c>
      <c r="B60" s="6">
        <v>1906</v>
      </c>
      <c r="C60" s="11">
        <v>45093</v>
      </c>
      <c r="D60" s="11">
        <v>45097</v>
      </c>
      <c r="E60" s="6" t="s">
        <v>78</v>
      </c>
      <c r="F60" s="6" t="s">
        <v>86</v>
      </c>
      <c r="G60" s="6" t="s">
        <v>93</v>
      </c>
      <c r="H60" s="6" t="s">
        <v>98</v>
      </c>
      <c r="I60" s="6" t="s">
        <v>112</v>
      </c>
      <c r="J60" s="6" t="s">
        <v>130</v>
      </c>
      <c r="K60" s="6" t="s">
        <v>84</v>
      </c>
      <c r="L60" s="6">
        <v>7</v>
      </c>
      <c r="M60" s="6">
        <v>245.03</v>
      </c>
      <c r="N60" s="6">
        <v>0</v>
      </c>
      <c r="P60" s="6">
        <v>10490</v>
      </c>
      <c r="Q60" s="6">
        <v>1927</v>
      </c>
      <c r="R60" s="11">
        <v>45259</v>
      </c>
      <c r="S60" s="11">
        <v>45261</v>
      </c>
      <c r="T60" s="6" t="s">
        <v>78</v>
      </c>
      <c r="U60" s="6" t="s">
        <v>92</v>
      </c>
      <c r="V60" s="6" t="s">
        <v>80</v>
      </c>
      <c r="W60" s="6" t="s">
        <v>98</v>
      </c>
      <c r="X60" s="6" t="s">
        <v>94</v>
      </c>
      <c r="Y60" s="6" t="s">
        <v>95</v>
      </c>
      <c r="Z60" s="6" t="s">
        <v>108</v>
      </c>
      <c r="AA60" s="6">
        <v>7</v>
      </c>
      <c r="AB60" s="6">
        <v>2838.06</v>
      </c>
      <c r="AC60" s="6">
        <v>20</v>
      </c>
    </row>
    <row r="61" spans="1:29" x14ac:dyDescent="0.25">
      <c r="A61" s="6">
        <v>10490</v>
      </c>
      <c r="B61" s="6">
        <v>1927</v>
      </c>
      <c r="C61" s="11">
        <v>45259</v>
      </c>
      <c r="D61" s="11">
        <v>45261</v>
      </c>
      <c r="E61" s="6" t="s">
        <v>78</v>
      </c>
      <c r="F61" s="6" t="s">
        <v>92</v>
      </c>
      <c r="G61" s="6" t="s">
        <v>80</v>
      </c>
      <c r="H61" s="6" t="s">
        <v>98</v>
      </c>
      <c r="I61" s="6" t="s">
        <v>94</v>
      </c>
      <c r="J61" s="6" t="s">
        <v>95</v>
      </c>
      <c r="K61" s="6" t="s">
        <v>108</v>
      </c>
      <c r="L61" s="6">
        <v>7</v>
      </c>
      <c r="M61" s="6">
        <v>2838.06</v>
      </c>
      <c r="N61" s="6">
        <v>20</v>
      </c>
      <c r="P61" s="6">
        <v>10495</v>
      </c>
      <c r="Q61" s="6">
        <v>1127</v>
      </c>
      <c r="R61" s="11">
        <v>45060</v>
      </c>
      <c r="S61" s="11">
        <v>45063</v>
      </c>
      <c r="T61" s="6" t="s">
        <v>78</v>
      </c>
      <c r="U61" s="6" t="s">
        <v>86</v>
      </c>
      <c r="V61" s="6" t="s">
        <v>93</v>
      </c>
      <c r="W61" s="6" t="s">
        <v>88</v>
      </c>
      <c r="X61" s="6" t="s">
        <v>120</v>
      </c>
      <c r="Y61" s="6" t="s">
        <v>122</v>
      </c>
      <c r="Z61" s="6" t="s">
        <v>108</v>
      </c>
      <c r="AA61" s="6">
        <v>8</v>
      </c>
      <c r="AB61" s="6">
        <v>598.44000000000005</v>
      </c>
      <c r="AC61" s="6">
        <v>0</v>
      </c>
    </row>
    <row r="62" spans="1:29" x14ac:dyDescent="0.25">
      <c r="A62" s="6">
        <v>10003</v>
      </c>
      <c r="B62" s="6">
        <v>1860</v>
      </c>
      <c r="C62" s="11">
        <v>45109</v>
      </c>
      <c r="D62" s="11">
        <v>45114</v>
      </c>
      <c r="E62" s="6" t="s">
        <v>78</v>
      </c>
      <c r="F62" s="6" t="s">
        <v>92</v>
      </c>
      <c r="G62" s="6" t="s">
        <v>93</v>
      </c>
      <c r="H62" s="6" t="s">
        <v>88</v>
      </c>
      <c r="I62" s="6" t="s">
        <v>94</v>
      </c>
      <c r="J62" s="6" t="s">
        <v>95</v>
      </c>
      <c r="K62" s="6" t="s">
        <v>96</v>
      </c>
      <c r="L62" s="6">
        <v>6</v>
      </c>
      <c r="M62" s="6">
        <v>3474.34</v>
      </c>
      <c r="N62" s="6">
        <v>15</v>
      </c>
      <c r="P62" s="6">
        <v>10496</v>
      </c>
      <c r="Q62" s="6">
        <v>1017</v>
      </c>
      <c r="R62" s="11">
        <v>45177</v>
      </c>
      <c r="S62" s="11">
        <v>45178</v>
      </c>
      <c r="T62" s="6" t="s">
        <v>78</v>
      </c>
      <c r="U62" s="6" t="s">
        <v>86</v>
      </c>
      <c r="V62" s="6" t="s">
        <v>80</v>
      </c>
      <c r="W62" s="6" t="s">
        <v>105</v>
      </c>
      <c r="X62" s="6" t="s">
        <v>115</v>
      </c>
      <c r="Y62" s="6" t="s">
        <v>123</v>
      </c>
      <c r="Z62" s="6" t="s">
        <v>108</v>
      </c>
      <c r="AA62" s="6">
        <v>6</v>
      </c>
      <c r="AB62" s="6">
        <v>1128.9100000000001</v>
      </c>
      <c r="AC62" s="6">
        <v>20</v>
      </c>
    </row>
    <row r="63" spans="1:29" x14ac:dyDescent="0.25">
      <c r="A63" s="6">
        <v>10040</v>
      </c>
      <c r="B63" s="6">
        <v>1474</v>
      </c>
      <c r="C63" s="11">
        <v>45274</v>
      </c>
      <c r="D63" s="11">
        <v>45277</v>
      </c>
      <c r="E63" s="6" t="s">
        <v>78</v>
      </c>
      <c r="F63" s="6" t="s">
        <v>79</v>
      </c>
      <c r="G63" s="6" t="s">
        <v>93</v>
      </c>
      <c r="H63" s="6" t="s">
        <v>98</v>
      </c>
      <c r="I63" s="6" t="s">
        <v>89</v>
      </c>
      <c r="J63" s="6" t="s">
        <v>90</v>
      </c>
      <c r="K63" s="6" t="s">
        <v>91</v>
      </c>
      <c r="L63" s="6">
        <v>6</v>
      </c>
      <c r="M63" s="6">
        <v>3083.25</v>
      </c>
      <c r="N63" s="6">
        <v>10</v>
      </c>
      <c r="P63" s="6">
        <v>10500</v>
      </c>
      <c r="Q63" s="6">
        <v>1569</v>
      </c>
      <c r="R63" s="11">
        <v>44972</v>
      </c>
      <c r="S63" s="11">
        <v>44977</v>
      </c>
      <c r="T63" s="6" t="s">
        <v>78</v>
      </c>
      <c r="U63" s="6" t="s">
        <v>79</v>
      </c>
      <c r="V63" s="6" t="s">
        <v>93</v>
      </c>
      <c r="W63" s="6" t="s">
        <v>105</v>
      </c>
      <c r="X63" s="6" t="s">
        <v>94</v>
      </c>
      <c r="Y63" s="6" t="s">
        <v>128</v>
      </c>
      <c r="Z63" s="6" t="s">
        <v>96</v>
      </c>
      <c r="AA63" s="6">
        <v>1</v>
      </c>
      <c r="AB63" s="6">
        <v>2432.17</v>
      </c>
      <c r="AC63" s="6">
        <v>20</v>
      </c>
    </row>
    <row r="64" spans="1:29" x14ac:dyDescent="0.25">
      <c r="A64" s="6">
        <v>10069</v>
      </c>
      <c r="B64" s="6">
        <v>1013</v>
      </c>
      <c r="C64" s="11">
        <v>45288</v>
      </c>
      <c r="D64" s="11">
        <v>45296</v>
      </c>
      <c r="E64" s="6" t="s">
        <v>78</v>
      </c>
      <c r="F64" s="6" t="s">
        <v>86</v>
      </c>
      <c r="G64" s="6" t="s">
        <v>80</v>
      </c>
      <c r="H64" s="6" t="s">
        <v>107</v>
      </c>
      <c r="I64" s="6" t="s">
        <v>120</v>
      </c>
      <c r="J64" s="6" t="s">
        <v>125</v>
      </c>
      <c r="K64" s="6" t="s">
        <v>96</v>
      </c>
      <c r="L64" s="6">
        <v>6</v>
      </c>
      <c r="M64" s="6">
        <v>1836.98</v>
      </c>
      <c r="N64" s="6">
        <v>5</v>
      </c>
    </row>
    <row r="65" spans="1:29" x14ac:dyDescent="0.25">
      <c r="A65" s="6">
        <v>10286</v>
      </c>
      <c r="B65" s="6">
        <v>1641</v>
      </c>
      <c r="C65" s="11">
        <v>45043</v>
      </c>
      <c r="D65" s="11">
        <v>45050</v>
      </c>
      <c r="E65" s="6" t="s">
        <v>78</v>
      </c>
      <c r="F65" s="6" t="s">
        <v>92</v>
      </c>
      <c r="G65" s="6" t="s">
        <v>80</v>
      </c>
      <c r="H65" s="6" t="s">
        <v>107</v>
      </c>
      <c r="I65" s="6" t="s">
        <v>120</v>
      </c>
      <c r="J65" s="6" t="s">
        <v>121</v>
      </c>
      <c r="K65" s="6" t="s">
        <v>91</v>
      </c>
      <c r="L65" s="6">
        <v>6</v>
      </c>
      <c r="M65" s="6">
        <v>220.79</v>
      </c>
      <c r="N65" s="6">
        <v>5</v>
      </c>
    </row>
    <row r="66" spans="1:29" x14ac:dyDescent="0.25">
      <c r="A66" s="6">
        <v>10496</v>
      </c>
      <c r="B66" s="6">
        <v>1017</v>
      </c>
      <c r="C66" s="11">
        <v>45177</v>
      </c>
      <c r="D66" s="11">
        <v>45178</v>
      </c>
      <c r="E66" s="6" t="s">
        <v>78</v>
      </c>
      <c r="F66" s="6" t="s">
        <v>86</v>
      </c>
      <c r="G66" s="6" t="s">
        <v>80</v>
      </c>
      <c r="H66" s="6" t="s">
        <v>105</v>
      </c>
      <c r="I66" s="6" t="s">
        <v>115</v>
      </c>
      <c r="J66" s="6" t="s">
        <v>123</v>
      </c>
      <c r="K66" s="6" t="s">
        <v>108</v>
      </c>
      <c r="L66" s="6">
        <v>6</v>
      </c>
      <c r="M66" s="6">
        <v>1128.9100000000001</v>
      </c>
      <c r="N66" s="6">
        <v>20</v>
      </c>
    </row>
    <row r="67" spans="1:29" x14ac:dyDescent="0.25">
      <c r="A67" s="6">
        <v>10009</v>
      </c>
      <c r="B67" s="6">
        <v>1614</v>
      </c>
      <c r="C67" s="11">
        <v>45204</v>
      </c>
      <c r="D67" s="11">
        <v>45213</v>
      </c>
      <c r="E67" s="6" t="s">
        <v>78</v>
      </c>
      <c r="F67" s="6" t="s">
        <v>92</v>
      </c>
      <c r="G67" s="6" t="s">
        <v>87</v>
      </c>
      <c r="H67" s="6" t="s">
        <v>88</v>
      </c>
      <c r="I67" s="6" t="s">
        <v>94</v>
      </c>
      <c r="J67" s="6" t="s">
        <v>111</v>
      </c>
      <c r="K67" s="6" t="s">
        <v>91</v>
      </c>
      <c r="L67" s="6">
        <v>5</v>
      </c>
      <c r="M67" s="6">
        <v>1098.04</v>
      </c>
      <c r="N67" s="6">
        <v>15</v>
      </c>
      <c r="P67" s="7" t="s">
        <v>0</v>
      </c>
      <c r="Q67" s="7" t="s">
        <v>65</v>
      </c>
      <c r="R67" s="7" t="s">
        <v>66</v>
      </c>
      <c r="S67" s="7" t="s">
        <v>67</v>
      </c>
      <c r="T67" s="7" t="s">
        <v>68</v>
      </c>
      <c r="U67" s="7" t="s">
        <v>69</v>
      </c>
      <c r="V67" s="7" t="s">
        <v>70</v>
      </c>
      <c r="W67" s="7" t="s">
        <v>71</v>
      </c>
      <c r="X67" s="7" t="s">
        <v>72</v>
      </c>
      <c r="Y67" s="7" t="s">
        <v>73</v>
      </c>
      <c r="Z67" s="7" t="s">
        <v>74</v>
      </c>
      <c r="AA67" s="7" t="s">
        <v>75</v>
      </c>
      <c r="AB67" s="7" t="s">
        <v>76</v>
      </c>
      <c r="AC67" s="7" t="s">
        <v>77</v>
      </c>
    </row>
    <row r="68" spans="1:29" x14ac:dyDescent="0.25">
      <c r="A68" s="6">
        <v>10031</v>
      </c>
      <c r="B68" s="6">
        <v>1276</v>
      </c>
      <c r="C68" s="11">
        <v>45162</v>
      </c>
      <c r="D68" s="11">
        <v>45166</v>
      </c>
      <c r="E68" s="6" t="s">
        <v>78</v>
      </c>
      <c r="F68" s="6" t="s">
        <v>92</v>
      </c>
      <c r="G68" s="6" t="s">
        <v>93</v>
      </c>
      <c r="H68" s="6" t="s">
        <v>105</v>
      </c>
      <c r="I68" s="6" t="s">
        <v>120</v>
      </c>
      <c r="J68" s="6" t="s">
        <v>125</v>
      </c>
      <c r="K68" s="6" t="s">
        <v>110</v>
      </c>
      <c r="L68" s="6">
        <v>5</v>
      </c>
      <c r="M68" s="6">
        <v>2295.65</v>
      </c>
      <c r="N68" s="6">
        <v>20</v>
      </c>
      <c r="P68" s="6">
        <v>10245</v>
      </c>
      <c r="Q68" s="6">
        <v>1972</v>
      </c>
      <c r="R68" s="11">
        <v>45143</v>
      </c>
      <c r="S68" s="11">
        <v>45148</v>
      </c>
      <c r="T68" s="6" t="s">
        <v>78</v>
      </c>
      <c r="U68" s="6" t="s">
        <v>79</v>
      </c>
      <c r="V68" s="6" t="s">
        <v>93</v>
      </c>
      <c r="W68" s="6" t="s">
        <v>105</v>
      </c>
      <c r="X68" s="6" t="s">
        <v>112</v>
      </c>
      <c r="Y68" s="6" t="s">
        <v>114</v>
      </c>
      <c r="Z68" s="6" t="s">
        <v>110</v>
      </c>
      <c r="AA68" s="6">
        <v>8</v>
      </c>
      <c r="AB68" s="6">
        <v>1504.45</v>
      </c>
      <c r="AC68" s="6">
        <v>20</v>
      </c>
    </row>
    <row r="69" spans="1:29" x14ac:dyDescent="0.25">
      <c r="A69" s="6">
        <v>10181</v>
      </c>
      <c r="B69" s="6">
        <v>1217</v>
      </c>
      <c r="C69" s="11">
        <v>45050</v>
      </c>
      <c r="D69" s="11">
        <v>45053</v>
      </c>
      <c r="E69" s="6" t="s">
        <v>78</v>
      </c>
      <c r="F69" s="6" t="s">
        <v>86</v>
      </c>
      <c r="G69" s="6" t="s">
        <v>80</v>
      </c>
      <c r="H69" s="6" t="s">
        <v>105</v>
      </c>
      <c r="I69" s="6" t="s">
        <v>112</v>
      </c>
      <c r="J69" s="6" t="s">
        <v>113</v>
      </c>
      <c r="K69" s="6" t="s">
        <v>96</v>
      </c>
      <c r="L69" s="6">
        <v>5</v>
      </c>
      <c r="M69" s="6">
        <v>2329.38</v>
      </c>
      <c r="N69" s="6">
        <v>20</v>
      </c>
      <c r="P69" s="6">
        <v>10496</v>
      </c>
      <c r="Q69" s="6">
        <v>1017</v>
      </c>
      <c r="R69" s="11">
        <v>45177</v>
      </c>
      <c r="S69" s="11">
        <v>45178</v>
      </c>
      <c r="T69" s="6" t="s">
        <v>78</v>
      </c>
      <c r="U69" s="6" t="s">
        <v>86</v>
      </c>
      <c r="V69" s="6" t="s">
        <v>80</v>
      </c>
      <c r="W69" s="6" t="s">
        <v>105</v>
      </c>
      <c r="X69" s="6" t="s">
        <v>115</v>
      </c>
      <c r="Y69" s="6" t="s">
        <v>123</v>
      </c>
      <c r="Z69" s="6" t="s">
        <v>108</v>
      </c>
      <c r="AA69" s="6">
        <v>6</v>
      </c>
      <c r="AB69" s="6">
        <v>1128.9100000000001</v>
      </c>
      <c r="AC69" s="6">
        <v>20</v>
      </c>
    </row>
    <row r="70" spans="1:29" x14ac:dyDescent="0.25">
      <c r="A70" s="6">
        <v>10201</v>
      </c>
      <c r="B70" s="6">
        <v>1899</v>
      </c>
      <c r="C70" s="11">
        <v>44961</v>
      </c>
      <c r="D70" s="11">
        <v>44966</v>
      </c>
      <c r="E70" s="6" t="s">
        <v>78</v>
      </c>
      <c r="F70" s="6" t="s">
        <v>92</v>
      </c>
      <c r="G70" s="6" t="s">
        <v>93</v>
      </c>
      <c r="H70" s="6" t="s">
        <v>105</v>
      </c>
      <c r="I70" s="6" t="s">
        <v>120</v>
      </c>
      <c r="J70" s="6" t="s">
        <v>122</v>
      </c>
      <c r="K70" s="6" t="s">
        <v>91</v>
      </c>
      <c r="L70" s="6">
        <v>5</v>
      </c>
      <c r="M70" s="6">
        <v>3501.94</v>
      </c>
      <c r="N70" s="6">
        <v>20</v>
      </c>
      <c r="P70" s="6">
        <v>10031</v>
      </c>
      <c r="Q70" s="6">
        <v>1276</v>
      </c>
      <c r="R70" s="11">
        <v>45162</v>
      </c>
      <c r="S70" s="11">
        <v>45166</v>
      </c>
      <c r="T70" s="6" t="s">
        <v>78</v>
      </c>
      <c r="U70" s="6" t="s">
        <v>92</v>
      </c>
      <c r="V70" s="6" t="s">
        <v>93</v>
      </c>
      <c r="W70" s="6" t="s">
        <v>105</v>
      </c>
      <c r="X70" s="6" t="s">
        <v>120</v>
      </c>
      <c r="Y70" s="6" t="s">
        <v>125</v>
      </c>
      <c r="Z70" s="6" t="s">
        <v>110</v>
      </c>
      <c r="AA70" s="6">
        <v>5</v>
      </c>
      <c r="AB70" s="6">
        <v>2295.65</v>
      </c>
      <c r="AC70" s="6">
        <v>20</v>
      </c>
    </row>
    <row r="71" spans="1:29" x14ac:dyDescent="0.25">
      <c r="A71" s="6">
        <v>10215</v>
      </c>
      <c r="B71" s="6">
        <v>1242</v>
      </c>
      <c r="C71" s="11">
        <v>45157</v>
      </c>
      <c r="D71" s="11">
        <v>45162</v>
      </c>
      <c r="E71" s="6" t="s">
        <v>78</v>
      </c>
      <c r="F71" s="6" t="s">
        <v>79</v>
      </c>
      <c r="G71" s="6" t="s">
        <v>80</v>
      </c>
      <c r="H71" s="6" t="s">
        <v>88</v>
      </c>
      <c r="I71" s="6" t="s">
        <v>89</v>
      </c>
      <c r="J71" s="6" t="s">
        <v>90</v>
      </c>
      <c r="K71" s="6" t="s">
        <v>84</v>
      </c>
      <c r="L71" s="6">
        <v>5</v>
      </c>
      <c r="M71" s="6">
        <v>633.42999999999995</v>
      </c>
      <c r="N71" s="6">
        <v>20</v>
      </c>
      <c r="P71" s="6">
        <v>10181</v>
      </c>
      <c r="Q71" s="6">
        <v>1217</v>
      </c>
      <c r="R71" s="11">
        <v>45050</v>
      </c>
      <c r="S71" s="11">
        <v>45053</v>
      </c>
      <c r="T71" s="6" t="s">
        <v>78</v>
      </c>
      <c r="U71" s="6" t="s">
        <v>86</v>
      </c>
      <c r="V71" s="6" t="s">
        <v>80</v>
      </c>
      <c r="W71" s="6" t="s">
        <v>105</v>
      </c>
      <c r="X71" s="6" t="s">
        <v>112</v>
      </c>
      <c r="Y71" s="6" t="s">
        <v>113</v>
      </c>
      <c r="Z71" s="6" t="s">
        <v>96</v>
      </c>
      <c r="AA71" s="6">
        <v>5</v>
      </c>
      <c r="AB71" s="6">
        <v>2329.38</v>
      </c>
      <c r="AC71" s="6">
        <v>20</v>
      </c>
    </row>
    <row r="72" spans="1:29" x14ac:dyDescent="0.25">
      <c r="A72" s="6">
        <v>10269</v>
      </c>
      <c r="B72" s="6">
        <v>1829</v>
      </c>
      <c r="C72" s="11">
        <v>45125</v>
      </c>
      <c r="D72" s="11">
        <v>45132</v>
      </c>
      <c r="E72" s="6" t="s">
        <v>78</v>
      </c>
      <c r="F72" s="6" t="s">
        <v>104</v>
      </c>
      <c r="G72" s="6" t="s">
        <v>87</v>
      </c>
      <c r="H72" s="6" t="s">
        <v>98</v>
      </c>
      <c r="I72" s="6" t="s">
        <v>112</v>
      </c>
      <c r="J72" s="6" t="s">
        <v>114</v>
      </c>
      <c r="K72" s="6" t="s">
        <v>110</v>
      </c>
      <c r="L72" s="6">
        <v>5</v>
      </c>
      <c r="M72" s="6">
        <v>3156.54</v>
      </c>
      <c r="N72" s="6">
        <v>20</v>
      </c>
      <c r="P72" s="6">
        <v>10201</v>
      </c>
      <c r="Q72" s="6">
        <v>1899</v>
      </c>
      <c r="R72" s="11">
        <v>44961</v>
      </c>
      <c r="S72" s="11">
        <v>44966</v>
      </c>
      <c r="T72" s="6" t="s">
        <v>78</v>
      </c>
      <c r="U72" s="6" t="s">
        <v>92</v>
      </c>
      <c r="V72" s="6" t="s">
        <v>93</v>
      </c>
      <c r="W72" s="6" t="s">
        <v>105</v>
      </c>
      <c r="X72" s="6" t="s">
        <v>120</v>
      </c>
      <c r="Y72" s="6" t="s">
        <v>122</v>
      </c>
      <c r="Z72" s="6" t="s">
        <v>91</v>
      </c>
      <c r="AA72" s="6">
        <v>5</v>
      </c>
      <c r="AB72" s="6">
        <v>3501.94</v>
      </c>
      <c r="AC72" s="6">
        <v>20</v>
      </c>
    </row>
    <row r="73" spans="1:29" x14ac:dyDescent="0.25">
      <c r="A73" s="6">
        <v>10322</v>
      </c>
      <c r="B73" s="6">
        <v>1608</v>
      </c>
      <c r="C73" s="11">
        <v>45220</v>
      </c>
      <c r="D73" s="11">
        <v>45222</v>
      </c>
      <c r="E73" s="6" t="s">
        <v>78</v>
      </c>
      <c r="F73" s="6" t="s">
        <v>117</v>
      </c>
      <c r="G73" s="6" t="s">
        <v>93</v>
      </c>
      <c r="H73" s="6" t="s">
        <v>98</v>
      </c>
      <c r="I73" s="6" t="s">
        <v>89</v>
      </c>
      <c r="J73" s="6" t="s">
        <v>124</v>
      </c>
      <c r="K73" s="6" t="s">
        <v>91</v>
      </c>
      <c r="L73" s="6">
        <v>5</v>
      </c>
      <c r="M73" s="6">
        <v>640.82000000000005</v>
      </c>
      <c r="N73" s="6">
        <v>0</v>
      </c>
      <c r="P73" s="6">
        <v>10366</v>
      </c>
      <c r="Q73" s="6">
        <v>1571</v>
      </c>
      <c r="R73" s="11">
        <v>45223</v>
      </c>
      <c r="S73" s="11">
        <v>45226</v>
      </c>
      <c r="T73" s="6" t="s">
        <v>78</v>
      </c>
      <c r="U73" s="6" t="s">
        <v>79</v>
      </c>
      <c r="V73" s="6" t="s">
        <v>87</v>
      </c>
      <c r="W73" s="6" t="s">
        <v>105</v>
      </c>
      <c r="X73" s="6" t="s">
        <v>112</v>
      </c>
      <c r="Y73" s="6" t="s">
        <v>126</v>
      </c>
      <c r="Z73" s="6" t="s">
        <v>84</v>
      </c>
      <c r="AA73" s="6">
        <v>5</v>
      </c>
      <c r="AB73" s="6">
        <v>3320.88</v>
      </c>
      <c r="AC73" s="6">
        <v>0</v>
      </c>
    </row>
    <row r="74" spans="1:29" x14ac:dyDescent="0.25">
      <c r="A74" s="6">
        <v>10342</v>
      </c>
      <c r="B74" s="6">
        <v>1819</v>
      </c>
      <c r="C74" s="11">
        <v>45018</v>
      </c>
      <c r="D74" s="11">
        <v>45019</v>
      </c>
      <c r="E74" s="6" t="s">
        <v>78</v>
      </c>
      <c r="F74" s="6" t="s">
        <v>117</v>
      </c>
      <c r="G74" s="6" t="s">
        <v>80</v>
      </c>
      <c r="H74" s="6" t="s">
        <v>98</v>
      </c>
      <c r="I74" s="6" t="s">
        <v>89</v>
      </c>
      <c r="J74" s="6" t="s">
        <v>90</v>
      </c>
      <c r="K74" s="6" t="s">
        <v>110</v>
      </c>
      <c r="L74" s="6">
        <v>5</v>
      </c>
      <c r="M74" s="6">
        <v>1853.11</v>
      </c>
      <c r="N74" s="6">
        <v>10</v>
      </c>
      <c r="P74" s="6">
        <v>10307</v>
      </c>
      <c r="Q74" s="6">
        <v>1183</v>
      </c>
      <c r="R74" s="11">
        <v>45267</v>
      </c>
      <c r="S74" s="11">
        <v>45273</v>
      </c>
      <c r="T74" s="6" t="s">
        <v>78</v>
      </c>
      <c r="U74" s="6" t="s">
        <v>79</v>
      </c>
      <c r="V74" s="6" t="s">
        <v>87</v>
      </c>
      <c r="W74" s="6" t="s">
        <v>105</v>
      </c>
      <c r="X74" s="6" t="s">
        <v>120</v>
      </c>
      <c r="Y74" s="6" t="s">
        <v>121</v>
      </c>
      <c r="Z74" s="6" t="s">
        <v>91</v>
      </c>
      <c r="AA74" s="6">
        <v>4</v>
      </c>
      <c r="AB74" s="6">
        <v>2008.45</v>
      </c>
      <c r="AC74" s="6">
        <v>5</v>
      </c>
    </row>
    <row r="75" spans="1:29" x14ac:dyDescent="0.25">
      <c r="A75" s="6">
        <v>10366</v>
      </c>
      <c r="B75" s="6">
        <v>1571</v>
      </c>
      <c r="C75" s="11">
        <v>45223</v>
      </c>
      <c r="D75" s="11">
        <v>45226</v>
      </c>
      <c r="E75" s="6" t="s">
        <v>78</v>
      </c>
      <c r="F75" s="6" t="s">
        <v>79</v>
      </c>
      <c r="G75" s="6" t="s">
        <v>87</v>
      </c>
      <c r="H75" s="6" t="s">
        <v>105</v>
      </c>
      <c r="I75" s="6" t="s">
        <v>112</v>
      </c>
      <c r="J75" s="6" t="s">
        <v>126</v>
      </c>
      <c r="K75" s="6" t="s">
        <v>84</v>
      </c>
      <c r="L75" s="6">
        <v>5</v>
      </c>
      <c r="M75" s="6">
        <v>3320.88</v>
      </c>
      <c r="N75" s="6">
        <v>0</v>
      </c>
      <c r="P75" s="6">
        <v>10173</v>
      </c>
      <c r="Q75" s="6">
        <v>1960</v>
      </c>
      <c r="R75" s="11">
        <v>45124</v>
      </c>
      <c r="S75" s="11">
        <v>45127</v>
      </c>
      <c r="T75" s="6" t="s">
        <v>78</v>
      </c>
      <c r="U75" s="6" t="s">
        <v>101</v>
      </c>
      <c r="V75" s="6" t="s">
        <v>87</v>
      </c>
      <c r="W75" s="6" t="s">
        <v>105</v>
      </c>
      <c r="X75" s="6" t="s">
        <v>94</v>
      </c>
      <c r="Y75" s="6" t="s">
        <v>128</v>
      </c>
      <c r="Z75" s="6" t="s">
        <v>91</v>
      </c>
      <c r="AA75" s="6">
        <v>3</v>
      </c>
      <c r="AB75" s="6">
        <v>1357.77</v>
      </c>
      <c r="AC75" s="6">
        <v>5</v>
      </c>
    </row>
    <row r="76" spans="1:29" x14ac:dyDescent="0.25">
      <c r="A76" s="6">
        <v>10472</v>
      </c>
      <c r="B76" s="6">
        <v>1517</v>
      </c>
      <c r="C76" s="11">
        <v>45269</v>
      </c>
      <c r="D76" s="11">
        <v>45278</v>
      </c>
      <c r="E76" s="6" t="s">
        <v>78</v>
      </c>
      <c r="F76" s="6" t="s">
        <v>117</v>
      </c>
      <c r="G76" s="6" t="s">
        <v>93</v>
      </c>
      <c r="H76" s="6" t="s">
        <v>98</v>
      </c>
      <c r="I76" s="6" t="s">
        <v>94</v>
      </c>
      <c r="J76" s="6" t="s">
        <v>111</v>
      </c>
      <c r="K76" s="6" t="s">
        <v>91</v>
      </c>
      <c r="L76" s="6">
        <v>5</v>
      </c>
      <c r="M76" s="6">
        <v>2523.25</v>
      </c>
      <c r="N76" s="6">
        <v>10</v>
      </c>
      <c r="P76" s="6">
        <v>10065</v>
      </c>
      <c r="Q76" s="6">
        <v>1273</v>
      </c>
      <c r="R76" s="11">
        <v>45054</v>
      </c>
      <c r="S76" s="11">
        <v>45058</v>
      </c>
      <c r="T76" s="6" t="s">
        <v>78</v>
      </c>
      <c r="U76" s="6" t="s">
        <v>101</v>
      </c>
      <c r="V76" s="6" t="s">
        <v>80</v>
      </c>
      <c r="W76" s="6" t="s">
        <v>105</v>
      </c>
      <c r="X76" s="6" t="s">
        <v>82</v>
      </c>
      <c r="Y76" s="6" t="s">
        <v>106</v>
      </c>
      <c r="Z76" s="6" t="s">
        <v>108</v>
      </c>
      <c r="AA76" s="6">
        <v>2</v>
      </c>
      <c r="AB76" s="6">
        <v>2773.21</v>
      </c>
      <c r="AC76" s="6">
        <v>10</v>
      </c>
    </row>
    <row r="77" spans="1:29" x14ac:dyDescent="0.25">
      <c r="A77" s="6">
        <v>10032</v>
      </c>
      <c r="B77" s="6">
        <v>1160</v>
      </c>
      <c r="C77" s="11">
        <v>45150</v>
      </c>
      <c r="D77" s="11">
        <v>45158</v>
      </c>
      <c r="E77" s="6" t="s">
        <v>78</v>
      </c>
      <c r="F77" s="6" t="s">
        <v>104</v>
      </c>
      <c r="G77" s="6" t="s">
        <v>93</v>
      </c>
      <c r="H77" s="6" t="s">
        <v>81</v>
      </c>
      <c r="I77" s="6" t="s">
        <v>82</v>
      </c>
      <c r="J77" s="6" t="s">
        <v>106</v>
      </c>
      <c r="K77" s="6" t="s">
        <v>84</v>
      </c>
      <c r="L77" s="6">
        <v>4</v>
      </c>
      <c r="M77" s="6">
        <v>750.74</v>
      </c>
      <c r="N77" s="6">
        <v>5</v>
      </c>
      <c r="P77" s="6">
        <v>10332</v>
      </c>
      <c r="Q77" s="6">
        <v>1954</v>
      </c>
      <c r="R77" s="11">
        <v>44946</v>
      </c>
      <c r="S77" s="11">
        <v>44955</v>
      </c>
      <c r="T77" s="6" t="s">
        <v>78</v>
      </c>
      <c r="U77" s="6" t="s">
        <v>86</v>
      </c>
      <c r="V77" s="6" t="s">
        <v>80</v>
      </c>
      <c r="W77" s="6" t="s">
        <v>105</v>
      </c>
      <c r="X77" s="6" t="s">
        <v>120</v>
      </c>
      <c r="Y77" s="6" t="s">
        <v>129</v>
      </c>
      <c r="Z77" s="6" t="s">
        <v>84</v>
      </c>
      <c r="AA77" s="6">
        <v>2</v>
      </c>
      <c r="AB77" s="6">
        <v>1335.36</v>
      </c>
      <c r="AC77" s="6">
        <v>5</v>
      </c>
    </row>
    <row r="78" spans="1:29" x14ac:dyDescent="0.25">
      <c r="A78" s="6">
        <v>10042</v>
      </c>
      <c r="B78" s="6">
        <v>1510</v>
      </c>
      <c r="C78" s="11">
        <v>45195</v>
      </c>
      <c r="D78" s="11">
        <v>45204</v>
      </c>
      <c r="E78" s="6" t="s">
        <v>78</v>
      </c>
      <c r="F78" s="6" t="s">
        <v>117</v>
      </c>
      <c r="G78" s="6" t="s">
        <v>87</v>
      </c>
      <c r="H78" s="6" t="s">
        <v>98</v>
      </c>
      <c r="I78" s="6" t="s">
        <v>89</v>
      </c>
      <c r="J78" s="6" t="s">
        <v>90</v>
      </c>
      <c r="K78" s="6" t="s">
        <v>96</v>
      </c>
      <c r="L78" s="6">
        <v>4</v>
      </c>
      <c r="M78" s="6">
        <v>1211.67</v>
      </c>
      <c r="N78" s="6">
        <v>20</v>
      </c>
      <c r="P78" s="6">
        <v>10130</v>
      </c>
      <c r="Q78" s="6">
        <v>1156</v>
      </c>
      <c r="R78" s="11">
        <v>44929</v>
      </c>
      <c r="S78" s="11">
        <v>44938</v>
      </c>
      <c r="T78" s="6" t="s">
        <v>78</v>
      </c>
      <c r="U78" s="6" t="s">
        <v>104</v>
      </c>
      <c r="V78" s="6" t="s">
        <v>80</v>
      </c>
      <c r="W78" s="6" t="s">
        <v>105</v>
      </c>
      <c r="X78" s="6" t="s">
        <v>120</v>
      </c>
      <c r="Y78" s="6" t="s">
        <v>125</v>
      </c>
      <c r="Z78" s="6" t="s">
        <v>96</v>
      </c>
      <c r="AA78" s="6">
        <v>1</v>
      </c>
      <c r="AB78" s="6">
        <v>2534.4699999999998</v>
      </c>
      <c r="AC78" s="6">
        <v>5</v>
      </c>
    </row>
    <row r="79" spans="1:29" x14ac:dyDescent="0.25">
      <c r="A79" s="6">
        <v>10264</v>
      </c>
      <c r="B79" s="6">
        <v>1607</v>
      </c>
      <c r="C79" s="11">
        <v>45086</v>
      </c>
      <c r="D79" s="11">
        <v>45091</v>
      </c>
      <c r="E79" s="6" t="s">
        <v>78</v>
      </c>
      <c r="F79" s="6" t="s">
        <v>79</v>
      </c>
      <c r="G79" s="6" t="s">
        <v>93</v>
      </c>
      <c r="H79" s="6" t="s">
        <v>107</v>
      </c>
      <c r="I79" s="6" t="s">
        <v>115</v>
      </c>
      <c r="J79" s="6" t="s">
        <v>123</v>
      </c>
      <c r="K79" s="6" t="s">
        <v>110</v>
      </c>
      <c r="L79" s="6">
        <v>4</v>
      </c>
      <c r="M79" s="6">
        <v>1126.3</v>
      </c>
      <c r="N79" s="6">
        <v>20</v>
      </c>
      <c r="P79" s="6">
        <v>10500</v>
      </c>
      <c r="Q79" s="6">
        <v>1569</v>
      </c>
      <c r="R79" s="11">
        <v>44972</v>
      </c>
      <c r="S79" s="11">
        <v>44977</v>
      </c>
      <c r="T79" s="6" t="s">
        <v>78</v>
      </c>
      <c r="U79" s="6" t="s">
        <v>79</v>
      </c>
      <c r="V79" s="6" t="s">
        <v>93</v>
      </c>
      <c r="W79" s="6" t="s">
        <v>105</v>
      </c>
      <c r="X79" s="6" t="s">
        <v>94</v>
      </c>
      <c r="Y79" s="6" t="s">
        <v>128</v>
      </c>
      <c r="Z79" s="6" t="s">
        <v>96</v>
      </c>
      <c r="AA79" s="6">
        <v>1</v>
      </c>
      <c r="AB79" s="6">
        <v>2432.17</v>
      </c>
      <c r="AC79" s="6">
        <v>20</v>
      </c>
    </row>
    <row r="80" spans="1:29" x14ac:dyDescent="0.25">
      <c r="A80" s="6">
        <v>10307</v>
      </c>
      <c r="B80" s="6">
        <v>1183</v>
      </c>
      <c r="C80" s="11">
        <v>45267</v>
      </c>
      <c r="D80" s="11">
        <v>45273</v>
      </c>
      <c r="E80" s="6" t="s">
        <v>78</v>
      </c>
      <c r="F80" s="6" t="s">
        <v>79</v>
      </c>
      <c r="G80" s="6" t="s">
        <v>87</v>
      </c>
      <c r="H80" s="6" t="s">
        <v>105</v>
      </c>
      <c r="I80" s="6" t="s">
        <v>120</v>
      </c>
      <c r="J80" s="6" t="s">
        <v>121</v>
      </c>
      <c r="K80" s="6" t="s">
        <v>91</v>
      </c>
      <c r="L80" s="6">
        <v>4</v>
      </c>
      <c r="M80" s="6">
        <v>2008.45</v>
      </c>
      <c r="N80" s="6">
        <v>5</v>
      </c>
    </row>
    <row r="81" spans="1:14" x14ac:dyDescent="0.25">
      <c r="A81" s="6">
        <v>10339</v>
      </c>
      <c r="B81" s="6">
        <v>1147</v>
      </c>
      <c r="C81" s="11">
        <v>45005</v>
      </c>
      <c r="D81" s="11">
        <v>45012</v>
      </c>
      <c r="E81" s="6" t="s">
        <v>78</v>
      </c>
      <c r="F81" s="6" t="s">
        <v>117</v>
      </c>
      <c r="G81" s="6" t="s">
        <v>80</v>
      </c>
      <c r="H81" s="6" t="s">
        <v>88</v>
      </c>
      <c r="I81" s="6" t="s">
        <v>94</v>
      </c>
      <c r="J81" s="6" t="s">
        <v>95</v>
      </c>
      <c r="K81" s="6" t="s">
        <v>84</v>
      </c>
      <c r="L81" s="6">
        <v>4</v>
      </c>
      <c r="M81" s="6">
        <v>3708.51</v>
      </c>
      <c r="N81" s="6">
        <v>5</v>
      </c>
    </row>
    <row r="82" spans="1:14" x14ac:dyDescent="0.25">
      <c r="A82" s="6">
        <v>10347</v>
      </c>
      <c r="B82" s="6">
        <v>1550</v>
      </c>
      <c r="C82" s="11">
        <v>44952</v>
      </c>
      <c r="D82" s="11">
        <v>44954</v>
      </c>
      <c r="E82" s="6" t="s">
        <v>78</v>
      </c>
      <c r="F82" s="6" t="s">
        <v>92</v>
      </c>
      <c r="G82" s="6" t="s">
        <v>87</v>
      </c>
      <c r="H82" s="6" t="s">
        <v>107</v>
      </c>
      <c r="I82" s="6" t="s">
        <v>82</v>
      </c>
      <c r="J82" s="6" t="s">
        <v>83</v>
      </c>
      <c r="K82" s="6" t="s">
        <v>108</v>
      </c>
      <c r="L82" s="6">
        <v>4</v>
      </c>
      <c r="M82" s="6">
        <v>640.37</v>
      </c>
      <c r="N82" s="6">
        <v>20</v>
      </c>
    </row>
    <row r="83" spans="1:14" x14ac:dyDescent="0.25">
      <c r="A83" s="6">
        <v>10071</v>
      </c>
      <c r="B83" s="6">
        <v>1776</v>
      </c>
      <c r="C83" s="11">
        <v>45070</v>
      </c>
      <c r="D83" s="11">
        <v>45078</v>
      </c>
      <c r="E83" s="6" t="s">
        <v>78</v>
      </c>
      <c r="F83" s="6" t="s">
        <v>92</v>
      </c>
      <c r="G83" s="6" t="s">
        <v>80</v>
      </c>
      <c r="H83" s="6" t="s">
        <v>81</v>
      </c>
      <c r="I83" s="6" t="s">
        <v>89</v>
      </c>
      <c r="J83" s="6" t="s">
        <v>124</v>
      </c>
      <c r="K83" s="6" t="s">
        <v>110</v>
      </c>
      <c r="L83" s="6">
        <v>3</v>
      </c>
      <c r="M83" s="6">
        <v>3854.71</v>
      </c>
      <c r="N83" s="6">
        <v>5</v>
      </c>
    </row>
    <row r="84" spans="1:14" x14ac:dyDescent="0.25">
      <c r="A84" s="6">
        <v>10080</v>
      </c>
      <c r="B84" s="6">
        <v>1427</v>
      </c>
      <c r="C84" s="11">
        <v>45288</v>
      </c>
      <c r="D84" s="11">
        <v>45293</v>
      </c>
      <c r="E84" s="6" t="s">
        <v>78</v>
      </c>
      <c r="F84" s="6" t="s">
        <v>117</v>
      </c>
      <c r="G84" s="6" t="s">
        <v>80</v>
      </c>
      <c r="H84" s="6" t="s">
        <v>88</v>
      </c>
      <c r="I84" s="6" t="s">
        <v>115</v>
      </c>
      <c r="J84" s="6" t="s">
        <v>119</v>
      </c>
      <c r="K84" s="6" t="s">
        <v>91</v>
      </c>
      <c r="L84" s="6">
        <v>3</v>
      </c>
      <c r="M84" s="6">
        <v>262.25</v>
      </c>
      <c r="N84" s="6">
        <v>10</v>
      </c>
    </row>
    <row r="85" spans="1:14" x14ac:dyDescent="0.25">
      <c r="A85" s="6">
        <v>10173</v>
      </c>
      <c r="B85" s="6">
        <v>1960</v>
      </c>
      <c r="C85" s="11">
        <v>45124</v>
      </c>
      <c r="D85" s="11">
        <v>45127</v>
      </c>
      <c r="E85" s="6" t="s">
        <v>78</v>
      </c>
      <c r="F85" s="6" t="s">
        <v>101</v>
      </c>
      <c r="G85" s="6" t="s">
        <v>87</v>
      </c>
      <c r="H85" s="6" t="s">
        <v>105</v>
      </c>
      <c r="I85" s="6" t="s">
        <v>94</v>
      </c>
      <c r="J85" s="6" t="s">
        <v>128</v>
      </c>
      <c r="K85" s="6" t="s">
        <v>91</v>
      </c>
      <c r="L85" s="6">
        <v>3</v>
      </c>
      <c r="M85" s="6">
        <v>1357.77</v>
      </c>
      <c r="N85" s="6">
        <v>5</v>
      </c>
    </row>
    <row r="86" spans="1:14" x14ac:dyDescent="0.25">
      <c r="A86" s="6">
        <v>10200</v>
      </c>
      <c r="B86" s="6">
        <v>1095</v>
      </c>
      <c r="C86" s="11">
        <v>45171</v>
      </c>
      <c r="D86" s="11">
        <v>45176</v>
      </c>
      <c r="E86" s="6" t="s">
        <v>78</v>
      </c>
      <c r="F86" s="6" t="s">
        <v>92</v>
      </c>
      <c r="G86" s="6" t="s">
        <v>93</v>
      </c>
      <c r="H86" s="6" t="s">
        <v>107</v>
      </c>
      <c r="I86" s="6" t="s">
        <v>82</v>
      </c>
      <c r="J86" s="6" t="s">
        <v>132</v>
      </c>
      <c r="K86" s="6" t="s">
        <v>96</v>
      </c>
      <c r="L86" s="6">
        <v>3</v>
      </c>
      <c r="M86" s="6">
        <v>2701.77</v>
      </c>
      <c r="N86" s="6">
        <v>15</v>
      </c>
    </row>
    <row r="87" spans="1:14" x14ac:dyDescent="0.25">
      <c r="A87" s="6">
        <v>10435</v>
      </c>
      <c r="B87" s="6">
        <v>1469</v>
      </c>
      <c r="C87" s="11">
        <v>45002</v>
      </c>
      <c r="D87" s="11">
        <v>45009</v>
      </c>
      <c r="E87" s="6" t="s">
        <v>78</v>
      </c>
      <c r="F87" s="6" t="s">
        <v>92</v>
      </c>
      <c r="G87" s="6" t="s">
        <v>87</v>
      </c>
      <c r="H87" s="6" t="s">
        <v>107</v>
      </c>
      <c r="I87" s="6" t="s">
        <v>115</v>
      </c>
      <c r="J87" s="6" t="s">
        <v>119</v>
      </c>
      <c r="K87" s="6" t="s">
        <v>84</v>
      </c>
      <c r="L87" s="6">
        <v>3</v>
      </c>
      <c r="M87" s="6">
        <v>3644.78</v>
      </c>
      <c r="N87" s="6">
        <v>0</v>
      </c>
    </row>
    <row r="88" spans="1:14" x14ac:dyDescent="0.25">
      <c r="A88" s="6">
        <v>10436</v>
      </c>
      <c r="B88" s="6">
        <v>1374</v>
      </c>
      <c r="C88" s="11">
        <v>45212</v>
      </c>
      <c r="D88" s="11">
        <v>45213</v>
      </c>
      <c r="E88" s="6" t="s">
        <v>78</v>
      </c>
      <c r="F88" s="6" t="s">
        <v>86</v>
      </c>
      <c r="G88" s="6" t="s">
        <v>93</v>
      </c>
      <c r="H88" s="6" t="s">
        <v>81</v>
      </c>
      <c r="I88" s="6" t="s">
        <v>115</v>
      </c>
      <c r="J88" s="6" t="s">
        <v>123</v>
      </c>
      <c r="K88" s="6" t="s">
        <v>84</v>
      </c>
      <c r="L88" s="6">
        <v>3</v>
      </c>
      <c r="M88" s="6">
        <v>3986.78</v>
      </c>
      <c r="N88" s="6">
        <v>20</v>
      </c>
    </row>
    <row r="89" spans="1:14" x14ac:dyDescent="0.25">
      <c r="A89" s="6">
        <v>10065</v>
      </c>
      <c r="B89" s="6">
        <v>1273</v>
      </c>
      <c r="C89" s="11">
        <v>45054</v>
      </c>
      <c r="D89" s="11">
        <v>45058</v>
      </c>
      <c r="E89" s="6" t="s">
        <v>78</v>
      </c>
      <c r="F89" s="6" t="s">
        <v>101</v>
      </c>
      <c r="G89" s="6" t="s">
        <v>80</v>
      </c>
      <c r="H89" s="6" t="s">
        <v>105</v>
      </c>
      <c r="I89" s="6" t="s">
        <v>82</v>
      </c>
      <c r="J89" s="6" t="s">
        <v>106</v>
      </c>
      <c r="K89" s="6" t="s">
        <v>108</v>
      </c>
      <c r="L89" s="6">
        <v>2</v>
      </c>
      <c r="M89" s="6">
        <v>2773.21</v>
      </c>
      <c r="N89" s="6">
        <v>10</v>
      </c>
    </row>
    <row r="90" spans="1:14" x14ac:dyDescent="0.25">
      <c r="A90" s="6">
        <v>10108</v>
      </c>
      <c r="B90" s="6">
        <v>1815</v>
      </c>
      <c r="C90" s="11">
        <v>45037</v>
      </c>
      <c r="D90" s="11">
        <v>45045</v>
      </c>
      <c r="E90" s="6" t="s">
        <v>78</v>
      </c>
      <c r="F90" s="6" t="s">
        <v>92</v>
      </c>
      <c r="G90" s="6" t="s">
        <v>87</v>
      </c>
      <c r="H90" s="6" t="s">
        <v>81</v>
      </c>
      <c r="I90" s="6" t="s">
        <v>89</v>
      </c>
      <c r="J90" s="6" t="s">
        <v>99</v>
      </c>
      <c r="K90" s="6" t="s">
        <v>84</v>
      </c>
      <c r="L90" s="6">
        <v>2</v>
      </c>
      <c r="M90" s="6">
        <v>564.30999999999995</v>
      </c>
      <c r="N90" s="6">
        <v>15</v>
      </c>
    </row>
    <row r="91" spans="1:14" x14ac:dyDescent="0.25">
      <c r="A91" s="6">
        <v>10192</v>
      </c>
      <c r="B91" s="6">
        <v>1891</v>
      </c>
      <c r="C91" s="11">
        <v>45039</v>
      </c>
      <c r="D91" s="11">
        <v>45042</v>
      </c>
      <c r="E91" s="6" t="s">
        <v>78</v>
      </c>
      <c r="F91" s="6" t="s">
        <v>92</v>
      </c>
      <c r="G91" s="6" t="s">
        <v>93</v>
      </c>
      <c r="H91" s="6" t="s">
        <v>98</v>
      </c>
      <c r="I91" s="6" t="s">
        <v>115</v>
      </c>
      <c r="J91" s="6" t="s">
        <v>123</v>
      </c>
      <c r="K91" s="6" t="s">
        <v>84</v>
      </c>
      <c r="L91" s="6">
        <v>2</v>
      </c>
      <c r="M91" s="6">
        <v>487.23</v>
      </c>
      <c r="N91" s="6">
        <v>15</v>
      </c>
    </row>
    <row r="92" spans="1:14" x14ac:dyDescent="0.25">
      <c r="A92" s="6">
        <v>10261</v>
      </c>
      <c r="B92" s="6">
        <v>1826</v>
      </c>
      <c r="C92" s="11">
        <v>44933</v>
      </c>
      <c r="D92" s="11">
        <v>44936</v>
      </c>
      <c r="E92" s="6" t="s">
        <v>78</v>
      </c>
      <c r="F92" s="6" t="s">
        <v>117</v>
      </c>
      <c r="G92" s="6" t="s">
        <v>87</v>
      </c>
      <c r="H92" s="6" t="s">
        <v>88</v>
      </c>
      <c r="I92" s="6" t="s">
        <v>94</v>
      </c>
      <c r="J92" s="6" t="s">
        <v>95</v>
      </c>
      <c r="K92" s="6" t="s">
        <v>96</v>
      </c>
      <c r="L92" s="6">
        <v>2</v>
      </c>
      <c r="M92" s="6">
        <v>533.25</v>
      </c>
      <c r="N92" s="6">
        <v>0</v>
      </c>
    </row>
    <row r="93" spans="1:14" x14ac:dyDescent="0.25">
      <c r="A93" s="6">
        <v>10332</v>
      </c>
      <c r="B93" s="6">
        <v>1954</v>
      </c>
      <c r="C93" s="11">
        <v>44946</v>
      </c>
      <c r="D93" s="11">
        <v>44955</v>
      </c>
      <c r="E93" s="6" t="s">
        <v>78</v>
      </c>
      <c r="F93" s="6" t="s">
        <v>86</v>
      </c>
      <c r="G93" s="6" t="s">
        <v>80</v>
      </c>
      <c r="H93" s="6" t="s">
        <v>105</v>
      </c>
      <c r="I93" s="6" t="s">
        <v>120</v>
      </c>
      <c r="J93" s="6" t="s">
        <v>129</v>
      </c>
      <c r="K93" s="6" t="s">
        <v>84</v>
      </c>
      <c r="L93" s="6">
        <v>2</v>
      </c>
      <c r="M93" s="6">
        <v>1335.36</v>
      </c>
      <c r="N93" s="6">
        <v>5</v>
      </c>
    </row>
    <row r="94" spans="1:14" x14ac:dyDescent="0.25">
      <c r="A94" s="6">
        <v>10386</v>
      </c>
      <c r="B94" s="6">
        <v>1119</v>
      </c>
      <c r="C94" s="11">
        <v>45146</v>
      </c>
      <c r="D94" s="11">
        <v>45154</v>
      </c>
      <c r="E94" s="6" t="s">
        <v>78</v>
      </c>
      <c r="F94" s="6" t="s">
        <v>86</v>
      </c>
      <c r="G94" s="6" t="s">
        <v>87</v>
      </c>
      <c r="H94" s="6" t="s">
        <v>107</v>
      </c>
      <c r="I94" s="6" t="s">
        <v>112</v>
      </c>
      <c r="J94" s="6" t="s">
        <v>130</v>
      </c>
      <c r="K94" s="6" t="s">
        <v>91</v>
      </c>
      <c r="L94" s="6">
        <v>2</v>
      </c>
      <c r="M94" s="6">
        <v>1984.38</v>
      </c>
      <c r="N94" s="6">
        <v>10</v>
      </c>
    </row>
    <row r="95" spans="1:14" x14ac:dyDescent="0.25">
      <c r="A95" s="6">
        <v>10455</v>
      </c>
      <c r="B95" s="6">
        <v>1480</v>
      </c>
      <c r="C95" s="11">
        <v>45034</v>
      </c>
      <c r="D95" s="11">
        <v>45036</v>
      </c>
      <c r="E95" s="6" t="s">
        <v>78</v>
      </c>
      <c r="F95" s="6" t="s">
        <v>92</v>
      </c>
      <c r="G95" s="6" t="s">
        <v>80</v>
      </c>
      <c r="H95" s="6" t="s">
        <v>81</v>
      </c>
      <c r="I95" s="6" t="s">
        <v>115</v>
      </c>
      <c r="J95" s="6" t="s">
        <v>127</v>
      </c>
      <c r="K95" s="6" t="s">
        <v>108</v>
      </c>
      <c r="L95" s="6">
        <v>2</v>
      </c>
      <c r="M95" s="6">
        <v>1374.23</v>
      </c>
      <c r="N95" s="6">
        <v>0</v>
      </c>
    </row>
    <row r="96" spans="1:14" x14ac:dyDescent="0.25">
      <c r="A96" s="6">
        <v>10018</v>
      </c>
      <c r="B96" s="6">
        <v>1871</v>
      </c>
      <c r="C96" s="11">
        <v>45045</v>
      </c>
      <c r="D96" s="11">
        <v>45048</v>
      </c>
      <c r="E96" s="6" t="s">
        <v>78</v>
      </c>
      <c r="F96" s="6" t="s">
        <v>92</v>
      </c>
      <c r="G96" s="6" t="s">
        <v>87</v>
      </c>
      <c r="H96" s="6" t="s">
        <v>81</v>
      </c>
      <c r="I96" s="6" t="s">
        <v>82</v>
      </c>
      <c r="J96" s="6" t="s">
        <v>118</v>
      </c>
      <c r="K96" s="6" t="s">
        <v>91</v>
      </c>
      <c r="L96" s="6">
        <v>1</v>
      </c>
      <c r="M96" s="6">
        <v>2165.81</v>
      </c>
      <c r="N96" s="6">
        <v>15</v>
      </c>
    </row>
    <row r="97" spans="1:14" x14ac:dyDescent="0.25">
      <c r="A97" s="6">
        <v>10111</v>
      </c>
      <c r="B97" s="6">
        <v>1461</v>
      </c>
      <c r="C97" s="11">
        <v>44950</v>
      </c>
      <c r="D97" s="11">
        <v>44959</v>
      </c>
      <c r="E97" s="6" t="s">
        <v>78</v>
      </c>
      <c r="F97" s="6" t="s">
        <v>117</v>
      </c>
      <c r="G97" s="6" t="s">
        <v>93</v>
      </c>
      <c r="H97" s="6" t="s">
        <v>98</v>
      </c>
      <c r="I97" s="6" t="s">
        <v>112</v>
      </c>
      <c r="J97" s="6" t="s">
        <v>130</v>
      </c>
      <c r="K97" s="6" t="s">
        <v>96</v>
      </c>
      <c r="L97" s="6">
        <v>1</v>
      </c>
      <c r="M97" s="6">
        <v>1820.02</v>
      </c>
      <c r="N97" s="6">
        <v>10</v>
      </c>
    </row>
    <row r="98" spans="1:14" x14ac:dyDescent="0.25">
      <c r="A98" s="6">
        <v>10130</v>
      </c>
      <c r="B98" s="6">
        <v>1156</v>
      </c>
      <c r="C98" s="11">
        <v>44929</v>
      </c>
      <c r="D98" s="11">
        <v>44938</v>
      </c>
      <c r="E98" s="6" t="s">
        <v>78</v>
      </c>
      <c r="F98" s="6" t="s">
        <v>104</v>
      </c>
      <c r="G98" s="6" t="s">
        <v>80</v>
      </c>
      <c r="H98" s="6" t="s">
        <v>105</v>
      </c>
      <c r="I98" s="6" t="s">
        <v>120</v>
      </c>
      <c r="J98" s="6" t="s">
        <v>125</v>
      </c>
      <c r="K98" s="6" t="s">
        <v>96</v>
      </c>
      <c r="L98" s="6">
        <v>1</v>
      </c>
      <c r="M98" s="6">
        <v>2534.4699999999998</v>
      </c>
      <c r="N98" s="6">
        <v>5</v>
      </c>
    </row>
    <row r="99" spans="1:14" x14ac:dyDescent="0.25">
      <c r="A99" s="6">
        <v>10350</v>
      </c>
      <c r="B99" s="6">
        <v>1640</v>
      </c>
      <c r="C99" s="11">
        <v>45180</v>
      </c>
      <c r="D99" s="11">
        <v>45185</v>
      </c>
      <c r="E99" s="6" t="s">
        <v>78</v>
      </c>
      <c r="F99" s="6" t="s">
        <v>104</v>
      </c>
      <c r="G99" s="6" t="s">
        <v>80</v>
      </c>
      <c r="H99" s="6" t="s">
        <v>107</v>
      </c>
      <c r="I99" s="6" t="s">
        <v>120</v>
      </c>
      <c r="J99" s="6" t="s">
        <v>125</v>
      </c>
      <c r="K99" s="6" t="s">
        <v>84</v>
      </c>
      <c r="L99" s="6">
        <v>1</v>
      </c>
      <c r="M99" s="6">
        <v>3708.38</v>
      </c>
      <c r="N99" s="6">
        <v>20</v>
      </c>
    </row>
    <row r="100" spans="1:14" x14ac:dyDescent="0.25">
      <c r="A100" s="6">
        <v>10379</v>
      </c>
      <c r="B100" s="6">
        <v>1658</v>
      </c>
      <c r="C100" s="11">
        <v>45262</v>
      </c>
      <c r="D100" s="11">
        <v>45270</v>
      </c>
      <c r="E100" s="6" t="s">
        <v>78</v>
      </c>
      <c r="F100" s="6" t="s">
        <v>79</v>
      </c>
      <c r="G100" s="6" t="s">
        <v>87</v>
      </c>
      <c r="H100" s="6" t="s">
        <v>98</v>
      </c>
      <c r="I100" s="6" t="s">
        <v>89</v>
      </c>
      <c r="J100" s="6" t="s">
        <v>131</v>
      </c>
      <c r="K100" s="6" t="s">
        <v>108</v>
      </c>
      <c r="L100" s="6">
        <v>1</v>
      </c>
      <c r="M100" s="6">
        <v>3910.66</v>
      </c>
      <c r="N100" s="6">
        <v>5</v>
      </c>
    </row>
    <row r="101" spans="1:14" x14ac:dyDescent="0.25">
      <c r="A101" s="6">
        <v>10500</v>
      </c>
      <c r="B101" s="6">
        <v>1569</v>
      </c>
      <c r="C101" s="11">
        <v>44972</v>
      </c>
      <c r="D101" s="11">
        <v>44977</v>
      </c>
      <c r="E101" s="6" t="s">
        <v>78</v>
      </c>
      <c r="F101" s="6" t="s">
        <v>79</v>
      </c>
      <c r="G101" s="6" t="s">
        <v>93</v>
      </c>
      <c r="H101" s="6" t="s">
        <v>105</v>
      </c>
      <c r="I101" s="6" t="s">
        <v>94</v>
      </c>
      <c r="J101" s="6" t="s">
        <v>128</v>
      </c>
      <c r="K101" s="6" t="s">
        <v>96</v>
      </c>
      <c r="L101" s="6">
        <v>1</v>
      </c>
      <c r="M101" s="6">
        <v>2432.17</v>
      </c>
      <c r="N101" s="6">
        <v>20</v>
      </c>
    </row>
    <row r="102" spans="1:14" x14ac:dyDescent="0.25">
      <c r="A102" s="6">
        <v>10124</v>
      </c>
      <c r="B102" s="6">
        <v>1216</v>
      </c>
      <c r="C102" s="11">
        <v>45199</v>
      </c>
      <c r="D102" s="11">
        <v>45200</v>
      </c>
      <c r="E102" s="6" t="s">
        <v>79</v>
      </c>
      <c r="F102" s="6" t="s">
        <v>104</v>
      </c>
      <c r="G102" s="6" t="s">
        <v>87</v>
      </c>
      <c r="H102" s="6" t="s">
        <v>81</v>
      </c>
      <c r="I102" s="6" t="s">
        <v>89</v>
      </c>
      <c r="J102" s="6" t="s">
        <v>124</v>
      </c>
      <c r="K102" s="6" t="s">
        <v>96</v>
      </c>
      <c r="L102" s="6">
        <v>9</v>
      </c>
      <c r="M102" s="6">
        <v>961.91</v>
      </c>
      <c r="N102" s="6">
        <v>15</v>
      </c>
    </row>
    <row r="103" spans="1:14" x14ac:dyDescent="0.25">
      <c r="A103" s="6">
        <v>10125</v>
      </c>
      <c r="B103" s="6">
        <v>1763</v>
      </c>
      <c r="C103" s="11">
        <v>45045</v>
      </c>
      <c r="D103" s="11">
        <v>45052</v>
      </c>
      <c r="E103" s="6" t="s">
        <v>79</v>
      </c>
      <c r="F103" s="6" t="s">
        <v>86</v>
      </c>
      <c r="G103" s="6" t="s">
        <v>93</v>
      </c>
      <c r="H103" s="6" t="s">
        <v>107</v>
      </c>
      <c r="I103" s="6" t="s">
        <v>115</v>
      </c>
      <c r="J103" s="6" t="s">
        <v>127</v>
      </c>
      <c r="K103" s="6" t="s">
        <v>110</v>
      </c>
      <c r="L103" s="6">
        <v>9</v>
      </c>
      <c r="M103" s="6">
        <v>3450.19</v>
      </c>
      <c r="N103" s="6">
        <v>0</v>
      </c>
    </row>
    <row r="104" spans="1:14" x14ac:dyDescent="0.25">
      <c r="A104" s="6">
        <v>10240</v>
      </c>
      <c r="B104" s="6">
        <v>1376</v>
      </c>
      <c r="C104" s="11">
        <v>45196</v>
      </c>
      <c r="D104" s="11">
        <v>45198</v>
      </c>
      <c r="E104" s="6" t="s">
        <v>79</v>
      </c>
      <c r="F104" s="6" t="s">
        <v>101</v>
      </c>
      <c r="G104" s="6" t="s">
        <v>80</v>
      </c>
      <c r="H104" s="6" t="s">
        <v>105</v>
      </c>
      <c r="I104" s="6" t="s">
        <v>120</v>
      </c>
      <c r="J104" s="6" t="s">
        <v>129</v>
      </c>
      <c r="K104" s="6" t="s">
        <v>108</v>
      </c>
      <c r="L104" s="6">
        <v>9</v>
      </c>
      <c r="M104" s="6">
        <v>265.58</v>
      </c>
      <c r="N104" s="6">
        <v>10</v>
      </c>
    </row>
    <row r="105" spans="1:14" x14ac:dyDescent="0.25">
      <c r="A105" s="6">
        <v>10356</v>
      </c>
      <c r="B105" s="6">
        <v>1150</v>
      </c>
      <c r="C105" s="11">
        <v>45093</v>
      </c>
      <c r="D105" s="11">
        <v>45102</v>
      </c>
      <c r="E105" s="6" t="s">
        <v>79</v>
      </c>
      <c r="F105" s="6" t="s">
        <v>101</v>
      </c>
      <c r="G105" s="6" t="s">
        <v>93</v>
      </c>
      <c r="H105" s="6" t="s">
        <v>105</v>
      </c>
      <c r="I105" s="6" t="s">
        <v>94</v>
      </c>
      <c r="J105" s="6" t="s">
        <v>111</v>
      </c>
      <c r="K105" s="6" t="s">
        <v>84</v>
      </c>
      <c r="L105" s="6">
        <v>9</v>
      </c>
      <c r="M105" s="6">
        <v>1259.77</v>
      </c>
      <c r="N105" s="6">
        <v>15</v>
      </c>
    </row>
    <row r="106" spans="1:14" x14ac:dyDescent="0.25">
      <c r="A106" s="6">
        <v>10486</v>
      </c>
      <c r="B106" s="6">
        <v>1115</v>
      </c>
      <c r="C106" s="11">
        <v>45068</v>
      </c>
      <c r="D106" s="11">
        <v>45077</v>
      </c>
      <c r="E106" s="6" t="s">
        <v>79</v>
      </c>
      <c r="F106" s="6" t="s">
        <v>104</v>
      </c>
      <c r="G106" s="6" t="s">
        <v>87</v>
      </c>
      <c r="H106" s="6" t="s">
        <v>105</v>
      </c>
      <c r="I106" s="6" t="s">
        <v>112</v>
      </c>
      <c r="J106" s="6" t="s">
        <v>126</v>
      </c>
      <c r="K106" s="6" t="s">
        <v>96</v>
      </c>
      <c r="L106" s="6">
        <v>9</v>
      </c>
      <c r="M106" s="6">
        <v>775.77</v>
      </c>
      <c r="N106" s="6">
        <v>0</v>
      </c>
    </row>
    <row r="107" spans="1:14" x14ac:dyDescent="0.25">
      <c r="A107" s="6">
        <v>10013</v>
      </c>
      <c r="B107" s="6">
        <v>1330</v>
      </c>
      <c r="C107" s="11">
        <v>45100</v>
      </c>
      <c r="D107" s="11">
        <v>45107</v>
      </c>
      <c r="E107" s="6" t="s">
        <v>79</v>
      </c>
      <c r="F107" s="6" t="s">
        <v>86</v>
      </c>
      <c r="G107" s="6" t="s">
        <v>80</v>
      </c>
      <c r="H107" s="6" t="s">
        <v>98</v>
      </c>
      <c r="I107" s="6" t="s">
        <v>82</v>
      </c>
      <c r="J107" s="6" t="s">
        <v>106</v>
      </c>
      <c r="K107" s="6" t="s">
        <v>84</v>
      </c>
      <c r="L107" s="6">
        <v>8</v>
      </c>
      <c r="M107" s="6">
        <v>3160.9</v>
      </c>
      <c r="N107" s="6">
        <v>0</v>
      </c>
    </row>
    <row r="108" spans="1:14" x14ac:dyDescent="0.25">
      <c r="A108" s="6">
        <v>10101</v>
      </c>
      <c r="B108" s="6">
        <v>1555</v>
      </c>
      <c r="C108" s="11">
        <v>45149</v>
      </c>
      <c r="D108" s="11">
        <v>45155</v>
      </c>
      <c r="E108" s="6" t="s">
        <v>79</v>
      </c>
      <c r="F108" s="6" t="s">
        <v>79</v>
      </c>
      <c r="G108" s="6" t="s">
        <v>93</v>
      </c>
      <c r="H108" s="6" t="s">
        <v>105</v>
      </c>
      <c r="I108" s="6" t="s">
        <v>120</v>
      </c>
      <c r="J108" s="6" t="s">
        <v>122</v>
      </c>
      <c r="K108" s="6" t="s">
        <v>91</v>
      </c>
      <c r="L108" s="6">
        <v>8</v>
      </c>
      <c r="M108" s="6">
        <v>1683.18</v>
      </c>
      <c r="N108" s="6">
        <v>15</v>
      </c>
    </row>
    <row r="109" spans="1:14" x14ac:dyDescent="0.25">
      <c r="A109" s="6">
        <v>10119</v>
      </c>
      <c r="B109" s="6">
        <v>1337</v>
      </c>
      <c r="C109" s="11">
        <v>44964</v>
      </c>
      <c r="D109" s="11">
        <v>44970</v>
      </c>
      <c r="E109" s="6" t="s">
        <v>79</v>
      </c>
      <c r="F109" s="6" t="s">
        <v>101</v>
      </c>
      <c r="G109" s="6" t="s">
        <v>80</v>
      </c>
      <c r="H109" s="6" t="s">
        <v>98</v>
      </c>
      <c r="I109" s="6" t="s">
        <v>94</v>
      </c>
      <c r="J109" s="6" t="s">
        <v>95</v>
      </c>
      <c r="K109" s="6" t="s">
        <v>96</v>
      </c>
      <c r="L109" s="6">
        <v>8</v>
      </c>
      <c r="M109" s="6">
        <v>3339.68</v>
      </c>
      <c r="N109" s="6">
        <v>0</v>
      </c>
    </row>
    <row r="110" spans="1:14" x14ac:dyDescent="0.25">
      <c r="A110" s="6">
        <v>10157</v>
      </c>
      <c r="B110" s="6">
        <v>1839</v>
      </c>
      <c r="C110" s="11">
        <v>45154</v>
      </c>
      <c r="D110" s="11">
        <v>45161</v>
      </c>
      <c r="E110" s="6" t="s">
        <v>79</v>
      </c>
      <c r="F110" s="6" t="s">
        <v>86</v>
      </c>
      <c r="G110" s="6" t="s">
        <v>93</v>
      </c>
      <c r="H110" s="6" t="s">
        <v>88</v>
      </c>
      <c r="I110" s="6" t="s">
        <v>82</v>
      </c>
      <c r="J110" s="6" t="s">
        <v>83</v>
      </c>
      <c r="K110" s="6" t="s">
        <v>96</v>
      </c>
      <c r="L110" s="6">
        <v>8</v>
      </c>
      <c r="M110" s="6">
        <v>1054.73</v>
      </c>
      <c r="N110" s="6">
        <v>0</v>
      </c>
    </row>
    <row r="111" spans="1:14" x14ac:dyDescent="0.25">
      <c r="A111" s="6">
        <v>10229</v>
      </c>
      <c r="B111" s="6">
        <v>1797</v>
      </c>
      <c r="C111" s="11">
        <v>44957</v>
      </c>
      <c r="D111" s="11">
        <v>44959</v>
      </c>
      <c r="E111" s="6" t="s">
        <v>79</v>
      </c>
      <c r="F111" s="6" t="s">
        <v>117</v>
      </c>
      <c r="G111" s="6" t="s">
        <v>93</v>
      </c>
      <c r="H111" s="6" t="s">
        <v>107</v>
      </c>
      <c r="I111" s="6" t="s">
        <v>112</v>
      </c>
      <c r="J111" s="6" t="s">
        <v>130</v>
      </c>
      <c r="K111" s="6" t="s">
        <v>96</v>
      </c>
      <c r="L111" s="6">
        <v>8</v>
      </c>
      <c r="M111" s="6">
        <v>3519.2</v>
      </c>
      <c r="N111" s="6">
        <v>0</v>
      </c>
    </row>
    <row r="112" spans="1:14" x14ac:dyDescent="0.25">
      <c r="A112" s="6">
        <v>10251</v>
      </c>
      <c r="B112" s="6">
        <v>1410</v>
      </c>
      <c r="C112" s="11">
        <v>45154</v>
      </c>
      <c r="D112" s="11">
        <v>45155</v>
      </c>
      <c r="E112" s="6" t="s">
        <v>79</v>
      </c>
      <c r="F112" s="6" t="s">
        <v>86</v>
      </c>
      <c r="G112" s="6" t="s">
        <v>80</v>
      </c>
      <c r="H112" s="6" t="s">
        <v>88</v>
      </c>
      <c r="I112" s="6" t="s">
        <v>94</v>
      </c>
      <c r="J112" s="6" t="s">
        <v>111</v>
      </c>
      <c r="K112" s="6" t="s">
        <v>91</v>
      </c>
      <c r="L112" s="6">
        <v>8</v>
      </c>
      <c r="M112" s="6">
        <v>1822.29</v>
      </c>
      <c r="N112" s="6">
        <v>20</v>
      </c>
    </row>
    <row r="113" spans="1:14" x14ac:dyDescent="0.25">
      <c r="A113" s="6">
        <v>10100</v>
      </c>
      <c r="B113" s="6">
        <v>1729</v>
      </c>
      <c r="C113" s="11">
        <v>45169</v>
      </c>
      <c r="D113" s="11">
        <v>45176</v>
      </c>
      <c r="E113" s="6" t="s">
        <v>79</v>
      </c>
      <c r="F113" s="6" t="s">
        <v>92</v>
      </c>
      <c r="G113" s="6" t="s">
        <v>87</v>
      </c>
      <c r="H113" s="6" t="s">
        <v>81</v>
      </c>
      <c r="I113" s="6" t="s">
        <v>82</v>
      </c>
      <c r="J113" s="6" t="s">
        <v>106</v>
      </c>
      <c r="K113" s="6" t="s">
        <v>110</v>
      </c>
      <c r="L113" s="6">
        <v>7</v>
      </c>
      <c r="M113" s="6">
        <v>3156.71</v>
      </c>
      <c r="N113" s="6">
        <v>10</v>
      </c>
    </row>
    <row r="114" spans="1:14" x14ac:dyDescent="0.25">
      <c r="A114" s="6">
        <v>10116</v>
      </c>
      <c r="B114" s="6">
        <v>1724</v>
      </c>
      <c r="C114" s="11">
        <v>45236</v>
      </c>
      <c r="D114" s="11">
        <v>45240</v>
      </c>
      <c r="E114" s="6" t="s">
        <v>79</v>
      </c>
      <c r="F114" s="6" t="s">
        <v>104</v>
      </c>
      <c r="G114" s="6" t="s">
        <v>93</v>
      </c>
      <c r="H114" s="6" t="s">
        <v>81</v>
      </c>
      <c r="I114" s="6" t="s">
        <v>115</v>
      </c>
      <c r="J114" s="6" t="s">
        <v>123</v>
      </c>
      <c r="K114" s="6" t="s">
        <v>110</v>
      </c>
      <c r="L114" s="6">
        <v>7</v>
      </c>
      <c r="M114" s="6">
        <v>978.54</v>
      </c>
      <c r="N114" s="6">
        <v>15</v>
      </c>
    </row>
    <row r="115" spans="1:14" x14ac:dyDescent="0.25">
      <c r="A115" s="6">
        <v>10166</v>
      </c>
      <c r="B115" s="6">
        <v>1804</v>
      </c>
      <c r="C115" s="11">
        <v>45177</v>
      </c>
      <c r="D115" s="11">
        <v>45179</v>
      </c>
      <c r="E115" s="6" t="s">
        <v>79</v>
      </c>
      <c r="F115" s="6" t="s">
        <v>104</v>
      </c>
      <c r="G115" s="6" t="s">
        <v>93</v>
      </c>
      <c r="H115" s="6" t="s">
        <v>105</v>
      </c>
      <c r="I115" s="6" t="s">
        <v>89</v>
      </c>
      <c r="J115" s="6" t="s">
        <v>90</v>
      </c>
      <c r="K115" s="6" t="s">
        <v>84</v>
      </c>
      <c r="L115" s="6">
        <v>7</v>
      </c>
      <c r="M115" s="6">
        <v>972.74</v>
      </c>
      <c r="N115" s="6">
        <v>0</v>
      </c>
    </row>
    <row r="116" spans="1:14" x14ac:dyDescent="0.25">
      <c r="A116" s="6">
        <v>10222</v>
      </c>
      <c r="B116" s="6">
        <v>1952</v>
      </c>
      <c r="C116" s="11">
        <v>45223</v>
      </c>
      <c r="D116" s="11">
        <v>45231</v>
      </c>
      <c r="E116" s="6" t="s">
        <v>79</v>
      </c>
      <c r="F116" s="6" t="s">
        <v>79</v>
      </c>
      <c r="G116" s="6" t="s">
        <v>87</v>
      </c>
      <c r="H116" s="6" t="s">
        <v>107</v>
      </c>
      <c r="I116" s="6" t="s">
        <v>112</v>
      </c>
      <c r="J116" s="6" t="s">
        <v>114</v>
      </c>
      <c r="K116" s="6" t="s">
        <v>84</v>
      </c>
      <c r="L116" s="6">
        <v>7</v>
      </c>
      <c r="M116" s="6">
        <v>3907.73</v>
      </c>
      <c r="N116" s="6">
        <v>10</v>
      </c>
    </row>
    <row r="117" spans="1:14" x14ac:dyDescent="0.25">
      <c r="A117" s="6">
        <v>10275</v>
      </c>
      <c r="B117" s="6">
        <v>1806</v>
      </c>
      <c r="C117" s="11">
        <v>44947</v>
      </c>
      <c r="D117" s="11">
        <v>44951</v>
      </c>
      <c r="E117" s="6" t="s">
        <v>79</v>
      </c>
      <c r="F117" s="6" t="s">
        <v>117</v>
      </c>
      <c r="G117" s="6" t="s">
        <v>87</v>
      </c>
      <c r="H117" s="6" t="s">
        <v>88</v>
      </c>
      <c r="I117" s="6" t="s">
        <v>115</v>
      </c>
      <c r="J117" s="6" t="s">
        <v>127</v>
      </c>
      <c r="K117" s="6" t="s">
        <v>96</v>
      </c>
      <c r="L117" s="6">
        <v>7</v>
      </c>
      <c r="M117" s="6">
        <v>509.1</v>
      </c>
      <c r="N117" s="6">
        <v>15</v>
      </c>
    </row>
    <row r="118" spans="1:14" x14ac:dyDescent="0.25">
      <c r="A118" s="6">
        <v>10302</v>
      </c>
      <c r="B118" s="6">
        <v>1415</v>
      </c>
      <c r="C118" s="11">
        <v>45024</v>
      </c>
      <c r="D118" s="11">
        <v>45027</v>
      </c>
      <c r="E118" s="6" t="s">
        <v>79</v>
      </c>
      <c r="F118" s="6" t="s">
        <v>92</v>
      </c>
      <c r="G118" s="6" t="s">
        <v>87</v>
      </c>
      <c r="H118" s="6" t="s">
        <v>81</v>
      </c>
      <c r="I118" s="6" t="s">
        <v>94</v>
      </c>
      <c r="J118" s="6" t="s">
        <v>128</v>
      </c>
      <c r="K118" s="6" t="s">
        <v>96</v>
      </c>
      <c r="L118" s="6">
        <v>7</v>
      </c>
      <c r="M118" s="6">
        <v>636.59</v>
      </c>
      <c r="N118" s="6">
        <v>5</v>
      </c>
    </row>
    <row r="119" spans="1:14" x14ac:dyDescent="0.25">
      <c r="A119" s="6">
        <v>10113</v>
      </c>
      <c r="B119" s="6">
        <v>1251</v>
      </c>
      <c r="C119" s="11">
        <v>45080</v>
      </c>
      <c r="D119" s="11">
        <v>45083</v>
      </c>
      <c r="E119" s="6" t="s">
        <v>79</v>
      </c>
      <c r="F119" s="6" t="s">
        <v>86</v>
      </c>
      <c r="G119" s="6" t="s">
        <v>80</v>
      </c>
      <c r="H119" s="6" t="s">
        <v>81</v>
      </c>
      <c r="I119" s="6" t="s">
        <v>89</v>
      </c>
      <c r="J119" s="6" t="s">
        <v>124</v>
      </c>
      <c r="K119" s="6" t="s">
        <v>84</v>
      </c>
      <c r="L119" s="6">
        <v>6</v>
      </c>
      <c r="M119" s="6">
        <v>2257.77</v>
      </c>
      <c r="N119" s="6">
        <v>20</v>
      </c>
    </row>
    <row r="120" spans="1:14" x14ac:dyDescent="0.25">
      <c r="A120" s="6">
        <v>10422</v>
      </c>
      <c r="B120" s="6">
        <v>1915</v>
      </c>
      <c r="C120" s="11">
        <v>45059</v>
      </c>
      <c r="D120" s="11">
        <v>45061</v>
      </c>
      <c r="E120" s="6" t="s">
        <v>79</v>
      </c>
      <c r="F120" s="6" t="s">
        <v>117</v>
      </c>
      <c r="G120" s="6" t="s">
        <v>80</v>
      </c>
      <c r="H120" s="6" t="s">
        <v>81</v>
      </c>
      <c r="I120" s="6" t="s">
        <v>115</v>
      </c>
      <c r="J120" s="6" t="s">
        <v>127</v>
      </c>
      <c r="K120" s="6" t="s">
        <v>110</v>
      </c>
      <c r="L120" s="6">
        <v>6</v>
      </c>
      <c r="M120" s="6">
        <v>1288.31</v>
      </c>
      <c r="N120" s="6">
        <v>15</v>
      </c>
    </row>
    <row r="121" spans="1:14" x14ac:dyDescent="0.25">
      <c r="A121" s="6">
        <v>10466</v>
      </c>
      <c r="B121" s="6">
        <v>1171</v>
      </c>
      <c r="C121" s="11">
        <v>44973</v>
      </c>
      <c r="D121" s="11">
        <v>44975</v>
      </c>
      <c r="E121" s="6" t="s">
        <v>79</v>
      </c>
      <c r="F121" s="6" t="s">
        <v>104</v>
      </c>
      <c r="G121" s="6" t="s">
        <v>93</v>
      </c>
      <c r="H121" s="6" t="s">
        <v>98</v>
      </c>
      <c r="I121" s="6" t="s">
        <v>82</v>
      </c>
      <c r="J121" s="6" t="s">
        <v>106</v>
      </c>
      <c r="K121" s="6" t="s">
        <v>91</v>
      </c>
      <c r="L121" s="6">
        <v>6</v>
      </c>
      <c r="M121" s="6">
        <v>3773.04</v>
      </c>
      <c r="N121" s="6">
        <v>0</v>
      </c>
    </row>
    <row r="122" spans="1:14" x14ac:dyDescent="0.25">
      <c r="A122" s="6">
        <v>10480</v>
      </c>
      <c r="B122" s="6">
        <v>1301</v>
      </c>
      <c r="C122" s="11">
        <v>45117</v>
      </c>
      <c r="D122" s="11">
        <v>45119</v>
      </c>
      <c r="E122" s="6" t="s">
        <v>79</v>
      </c>
      <c r="F122" s="6" t="s">
        <v>92</v>
      </c>
      <c r="G122" s="6" t="s">
        <v>80</v>
      </c>
      <c r="H122" s="6" t="s">
        <v>107</v>
      </c>
      <c r="I122" s="6" t="s">
        <v>89</v>
      </c>
      <c r="J122" s="6" t="s">
        <v>99</v>
      </c>
      <c r="K122" s="6" t="s">
        <v>110</v>
      </c>
      <c r="L122" s="6">
        <v>6</v>
      </c>
      <c r="M122" s="6">
        <v>845</v>
      </c>
      <c r="N122" s="6">
        <v>15</v>
      </c>
    </row>
    <row r="123" spans="1:14" x14ac:dyDescent="0.25">
      <c r="A123" s="6">
        <v>10036</v>
      </c>
      <c r="B123" s="6">
        <v>1252</v>
      </c>
      <c r="C123" s="11">
        <v>45076</v>
      </c>
      <c r="D123" s="11">
        <v>45084</v>
      </c>
      <c r="E123" s="6" t="s">
        <v>79</v>
      </c>
      <c r="F123" s="6" t="s">
        <v>101</v>
      </c>
      <c r="G123" s="6" t="s">
        <v>80</v>
      </c>
      <c r="H123" s="6" t="s">
        <v>105</v>
      </c>
      <c r="I123" s="6" t="s">
        <v>89</v>
      </c>
      <c r="J123" s="6" t="s">
        <v>90</v>
      </c>
      <c r="K123" s="6" t="s">
        <v>91</v>
      </c>
      <c r="L123" s="6">
        <v>5</v>
      </c>
      <c r="M123" s="6">
        <v>2327.9</v>
      </c>
      <c r="N123" s="6">
        <v>0</v>
      </c>
    </row>
    <row r="124" spans="1:14" x14ac:dyDescent="0.25">
      <c r="A124" s="6">
        <v>10121</v>
      </c>
      <c r="B124" s="6">
        <v>1052</v>
      </c>
      <c r="C124" s="11">
        <v>45114</v>
      </c>
      <c r="D124" s="11">
        <v>45115</v>
      </c>
      <c r="E124" s="6" t="s">
        <v>79</v>
      </c>
      <c r="F124" s="6" t="s">
        <v>79</v>
      </c>
      <c r="G124" s="6" t="s">
        <v>87</v>
      </c>
      <c r="H124" s="6" t="s">
        <v>98</v>
      </c>
      <c r="I124" s="6" t="s">
        <v>120</v>
      </c>
      <c r="J124" s="6" t="s">
        <v>125</v>
      </c>
      <c r="K124" s="6" t="s">
        <v>96</v>
      </c>
      <c r="L124" s="6">
        <v>5</v>
      </c>
      <c r="M124" s="6">
        <v>2832.28</v>
      </c>
      <c r="N124" s="6">
        <v>0</v>
      </c>
    </row>
    <row r="125" spans="1:14" x14ac:dyDescent="0.25">
      <c r="A125" s="6">
        <v>10122</v>
      </c>
      <c r="B125" s="6">
        <v>1791</v>
      </c>
      <c r="C125" s="11">
        <v>44983</v>
      </c>
      <c r="D125" s="11">
        <v>44991</v>
      </c>
      <c r="E125" s="6" t="s">
        <v>79</v>
      </c>
      <c r="F125" s="6" t="s">
        <v>101</v>
      </c>
      <c r="G125" s="6" t="s">
        <v>87</v>
      </c>
      <c r="H125" s="6" t="s">
        <v>105</v>
      </c>
      <c r="I125" s="6" t="s">
        <v>112</v>
      </c>
      <c r="J125" s="6" t="s">
        <v>126</v>
      </c>
      <c r="K125" s="6" t="s">
        <v>108</v>
      </c>
      <c r="L125" s="6">
        <v>5</v>
      </c>
      <c r="M125" s="6">
        <v>1398.73</v>
      </c>
      <c r="N125" s="6">
        <v>0</v>
      </c>
    </row>
    <row r="126" spans="1:14" x14ac:dyDescent="0.25">
      <c r="A126" s="6">
        <v>10296</v>
      </c>
      <c r="B126" s="6">
        <v>1129</v>
      </c>
      <c r="C126" s="11">
        <v>44954</v>
      </c>
      <c r="D126" s="11">
        <v>44957</v>
      </c>
      <c r="E126" s="6" t="s">
        <v>79</v>
      </c>
      <c r="F126" s="6" t="s">
        <v>79</v>
      </c>
      <c r="G126" s="6" t="s">
        <v>80</v>
      </c>
      <c r="H126" s="6" t="s">
        <v>98</v>
      </c>
      <c r="I126" s="6" t="s">
        <v>94</v>
      </c>
      <c r="J126" s="6" t="s">
        <v>111</v>
      </c>
      <c r="K126" s="6" t="s">
        <v>110</v>
      </c>
      <c r="L126" s="6">
        <v>5</v>
      </c>
      <c r="M126" s="6">
        <v>2850.33</v>
      </c>
      <c r="N126" s="6">
        <v>5</v>
      </c>
    </row>
    <row r="127" spans="1:14" x14ac:dyDescent="0.25">
      <c r="A127" s="6">
        <v>10365</v>
      </c>
      <c r="B127" s="6">
        <v>1623</v>
      </c>
      <c r="C127" s="11">
        <v>44934</v>
      </c>
      <c r="D127" s="11">
        <v>44940</v>
      </c>
      <c r="E127" s="6" t="s">
        <v>79</v>
      </c>
      <c r="F127" s="6" t="s">
        <v>104</v>
      </c>
      <c r="G127" s="6" t="s">
        <v>80</v>
      </c>
      <c r="H127" s="6" t="s">
        <v>98</v>
      </c>
      <c r="I127" s="6" t="s">
        <v>115</v>
      </c>
      <c r="J127" s="6" t="s">
        <v>116</v>
      </c>
      <c r="K127" s="6" t="s">
        <v>96</v>
      </c>
      <c r="L127" s="6">
        <v>5</v>
      </c>
      <c r="M127" s="6">
        <v>3593.46</v>
      </c>
      <c r="N127" s="6">
        <v>20</v>
      </c>
    </row>
    <row r="128" spans="1:14" x14ac:dyDescent="0.25">
      <c r="A128" s="6">
        <v>10491</v>
      </c>
      <c r="B128" s="6">
        <v>1982</v>
      </c>
      <c r="C128" s="11">
        <v>45133</v>
      </c>
      <c r="D128" s="11">
        <v>45137</v>
      </c>
      <c r="E128" s="6" t="s">
        <v>79</v>
      </c>
      <c r="F128" s="6" t="s">
        <v>92</v>
      </c>
      <c r="G128" s="6" t="s">
        <v>80</v>
      </c>
      <c r="H128" s="6" t="s">
        <v>107</v>
      </c>
      <c r="I128" s="6" t="s">
        <v>112</v>
      </c>
      <c r="J128" s="6" t="s">
        <v>126</v>
      </c>
      <c r="K128" s="6" t="s">
        <v>91</v>
      </c>
      <c r="L128" s="6">
        <v>5</v>
      </c>
      <c r="M128" s="6">
        <v>977.43</v>
      </c>
      <c r="N128" s="6">
        <v>20</v>
      </c>
    </row>
    <row r="129" spans="1:14" x14ac:dyDescent="0.25">
      <c r="A129" s="6">
        <v>10497</v>
      </c>
      <c r="B129" s="6">
        <v>1792</v>
      </c>
      <c r="C129" s="11">
        <v>45145</v>
      </c>
      <c r="D129" s="11">
        <v>45151</v>
      </c>
      <c r="E129" s="6" t="s">
        <v>79</v>
      </c>
      <c r="F129" s="6" t="s">
        <v>92</v>
      </c>
      <c r="G129" s="6" t="s">
        <v>87</v>
      </c>
      <c r="H129" s="6" t="s">
        <v>105</v>
      </c>
      <c r="I129" s="6" t="s">
        <v>94</v>
      </c>
      <c r="J129" s="6" t="s">
        <v>102</v>
      </c>
      <c r="K129" s="6" t="s">
        <v>84</v>
      </c>
      <c r="L129" s="6">
        <v>5</v>
      </c>
      <c r="M129" s="6">
        <v>1287.55</v>
      </c>
      <c r="N129" s="6">
        <v>0</v>
      </c>
    </row>
    <row r="130" spans="1:14" x14ac:dyDescent="0.25">
      <c r="A130" s="6">
        <v>10044</v>
      </c>
      <c r="B130" s="6">
        <v>1475</v>
      </c>
      <c r="C130" s="11">
        <v>44955</v>
      </c>
      <c r="D130" s="11">
        <v>44959</v>
      </c>
      <c r="E130" s="6" t="s">
        <v>79</v>
      </c>
      <c r="F130" s="6" t="s">
        <v>92</v>
      </c>
      <c r="G130" s="6" t="s">
        <v>80</v>
      </c>
      <c r="H130" s="6" t="s">
        <v>105</v>
      </c>
      <c r="I130" s="6" t="s">
        <v>94</v>
      </c>
      <c r="J130" s="6" t="s">
        <v>111</v>
      </c>
      <c r="K130" s="6" t="s">
        <v>110</v>
      </c>
      <c r="L130" s="6">
        <v>4</v>
      </c>
      <c r="M130" s="6">
        <v>214.51</v>
      </c>
      <c r="N130" s="6">
        <v>20</v>
      </c>
    </row>
    <row r="131" spans="1:14" x14ac:dyDescent="0.25">
      <c r="A131" s="6">
        <v>10140</v>
      </c>
      <c r="B131" s="6">
        <v>1471</v>
      </c>
      <c r="C131" s="11">
        <v>45008</v>
      </c>
      <c r="D131" s="11">
        <v>45015</v>
      </c>
      <c r="E131" s="6" t="s">
        <v>79</v>
      </c>
      <c r="F131" s="6" t="s">
        <v>117</v>
      </c>
      <c r="G131" s="6" t="s">
        <v>93</v>
      </c>
      <c r="H131" s="6" t="s">
        <v>105</v>
      </c>
      <c r="I131" s="6" t="s">
        <v>120</v>
      </c>
      <c r="J131" s="6" t="s">
        <v>122</v>
      </c>
      <c r="K131" s="6" t="s">
        <v>110</v>
      </c>
      <c r="L131" s="6">
        <v>4</v>
      </c>
      <c r="M131" s="6">
        <v>3565.41</v>
      </c>
      <c r="N131" s="6">
        <v>20</v>
      </c>
    </row>
    <row r="132" spans="1:14" x14ac:dyDescent="0.25">
      <c r="A132" s="6">
        <v>10155</v>
      </c>
      <c r="B132" s="6">
        <v>1134</v>
      </c>
      <c r="C132" s="11">
        <v>44945</v>
      </c>
      <c r="D132" s="11">
        <v>44954</v>
      </c>
      <c r="E132" s="6" t="s">
        <v>79</v>
      </c>
      <c r="F132" s="6" t="s">
        <v>92</v>
      </c>
      <c r="G132" s="6" t="s">
        <v>93</v>
      </c>
      <c r="H132" s="6" t="s">
        <v>88</v>
      </c>
      <c r="I132" s="6" t="s">
        <v>115</v>
      </c>
      <c r="J132" s="6" t="s">
        <v>119</v>
      </c>
      <c r="K132" s="6" t="s">
        <v>84</v>
      </c>
      <c r="L132" s="6">
        <v>4</v>
      </c>
      <c r="M132" s="6">
        <v>1442.15</v>
      </c>
      <c r="N132" s="6">
        <v>15</v>
      </c>
    </row>
    <row r="133" spans="1:14" x14ac:dyDescent="0.25">
      <c r="A133" s="6">
        <v>10175</v>
      </c>
      <c r="B133" s="6">
        <v>1612</v>
      </c>
      <c r="C133" s="11">
        <v>45074</v>
      </c>
      <c r="D133" s="11">
        <v>45081</v>
      </c>
      <c r="E133" s="6" t="s">
        <v>79</v>
      </c>
      <c r="F133" s="6" t="s">
        <v>104</v>
      </c>
      <c r="G133" s="6" t="s">
        <v>80</v>
      </c>
      <c r="H133" s="6" t="s">
        <v>81</v>
      </c>
      <c r="I133" s="6" t="s">
        <v>94</v>
      </c>
      <c r="J133" s="6" t="s">
        <v>95</v>
      </c>
      <c r="K133" s="6" t="s">
        <v>108</v>
      </c>
      <c r="L133" s="6">
        <v>4</v>
      </c>
      <c r="M133" s="6">
        <v>2836.21</v>
      </c>
      <c r="N133" s="6">
        <v>20</v>
      </c>
    </row>
    <row r="134" spans="1:14" x14ac:dyDescent="0.25">
      <c r="A134" s="6">
        <v>10197</v>
      </c>
      <c r="B134" s="6">
        <v>1742</v>
      </c>
      <c r="C134" s="11">
        <v>45263</v>
      </c>
      <c r="D134" s="11">
        <v>45266</v>
      </c>
      <c r="E134" s="6" t="s">
        <v>79</v>
      </c>
      <c r="F134" s="6" t="s">
        <v>101</v>
      </c>
      <c r="G134" s="6" t="s">
        <v>80</v>
      </c>
      <c r="H134" s="6" t="s">
        <v>98</v>
      </c>
      <c r="I134" s="6" t="s">
        <v>112</v>
      </c>
      <c r="J134" s="6" t="s">
        <v>130</v>
      </c>
      <c r="K134" s="6" t="s">
        <v>108</v>
      </c>
      <c r="L134" s="6">
        <v>4</v>
      </c>
      <c r="M134" s="6">
        <v>1256.21</v>
      </c>
      <c r="N134" s="6">
        <v>10</v>
      </c>
    </row>
    <row r="135" spans="1:14" x14ac:dyDescent="0.25">
      <c r="A135" s="6">
        <v>10341</v>
      </c>
      <c r="B135" s="6">
        <v>1710</v>
      </c>
      <c r="C135" s="11">
        <v>45042</v>
      </c>
      <c r="D135" s="11">
        <v>45048</v>
      </c>
      <c r="E135" s="6" t="s">
        <v>79</v>
      </c>
      <c r="F135" s="6" t="s">
        <v>92</v>
      </c>
      <c r="G135" s="6" t="s">
        <v>80</v>
      </c>
      <c r="H135" s="6" t="s">
        <v>98</v>
      </c>
      <c r="I135" s="6" t="s">
        <v>112</v>
      </c>
      <c r="J135" s="6" t="s">
        <v>114</v>
      </c>
      <c r="K135" s="6" t="s">
        <v>91</v>
      </c>
      <c r="L135" s="6">
        <v>4</v>
      </c>
      <c r="M135" s="6">
        <v>641.92999999999995</v>
      </c>
      <c r="N135" s="6">
        <v>0</v>
      </c>
    </row>
    <row r="136" spans="1:14" x14ac:dyDescent="0.25">
      <c r="A136" s="6">
        <v>10072</v>
      </c>
      <c r="B136" s="6">
        <v>1345</v>
      </c>
      <c r="C136" s="11">
        <v>44998</v>
      </c>
      <c r="D136" s="11">
        <v>45005</v>
      </c>
      <c r="E136" s="6" t="s">
        <v>79</v>
      </c>
      <c r="F136" s="6" t="s">
        <v>117</v>
      </c>
      <c r="G136" s="6" t="s">
        <v>80</v>
      </c>
      <c r="H136" s="6" t="s">
        <v>81</v>
      </c>
      <c r="I136" s="6" t="s">
        <v>82</v>
      </c>
      <c r="J136" s="6" t="s">
        <v>118</v>
      </c>
      <c r="K136" s="6" t="s">
        <v>110</v>
      </c>
      <c r="L136" s="6">
        <v>3</v>
      </c>
      <c r="M136" s="6">
        <v>1859.84</v>
      </c>
      <c r="N136" s="6">
        <v>15</v>
      </c>
    </row>
    <row r="137" spans="1:14" x14ac:dyDescent="0.25">
      <c r="A137" s="6">
        <v>10074</v>
      </c>
      <c r="B137" s="6">
        <v>1897</v>
      </c>
      <c r="C137" s="11">
        <v>45290</v>
      </c>
      <c r="D137" s="11">
        <v>45296</v>
      </c>
      <c r="E137" s="6" t="s">
        <v>79</v>
      </c>
      <c r="F137" s="6" t="s">
        <v>117</v>
      </c>
      <c r="G137" s="6" t="s">
        <v>93</v>
      </c>
      <c r="H137" s="6" t="s">
        <v>98</v>
      </c>
      <c r="I137" s="6" t="s">
        <v>82</v>
      </c>
      <c r="J137" s="6" t="s">
        <v>106</v>
      </c>
      <c r="K137" s="6" t="s">
        <v>96</v>
      </c>
      <c r="L137" s="6">
        <v>3</v>
      </c>
      <c r="M137" s="6">
        <v>2196.89</v>
      </c>
      <c r="N137" s="6">
        <v>0</v>
      </c>
    </row>
    <row r="138" spans="1:14" x14ac:dyDescent="0.25">
      <c r="A138" s="6">
        <v>10381</v>
      </c>
      <c r="B138" s="6">
        <v>1207</v>
      </c>
      <c r="C138" s="11">
        <v>45185</v>
      </c>
      <c r="D138" s="11">
        <v>45188</v>
      </c>
      <c r="E138" s="6" t="s">
        <v>79</v>
      </c>
      <c r="F138" s="6" t="s">
        <v>86</v>
      </c>
      <c r="G138" s="6" t="s">
        <v>87</v>
      </c>
      <c r="H138" s="6" t="s">
        <v>107</v>
      </c>
      <c r="I138" s="6" t="s">
        <v>115</v>
      </c>
      <c r="J138" s="6" t="s">
        <v>119</v>
      </c>
      <c r="K138" s="6" t="s">
        <v>110</v>
      </c>
      <c r="L138" s="6">
        <v>3</v>
      </c>
      <c r="M138" s="6">
        <v>487.45</v>
      </c>
      <c r="N138" s="6">
        <v>5</v>
      </c>
    </row>
    <row r="139" spans="1:14" x14ac:dyDescent="0.25">
      <c r="A139" s="6">
        <v>10385</v>
      </c>
      <c r="B139" s="6">
        <v>1053</v>
      </c>
      <c r="C139" s="11">
        <v>44966</v>
      </c>
      <c r="D139" s="11">
        <v>44967</v>
      </c>
      <c r="E139" s="6" t="s">
        <v>79</v>
      </c>
      <c r="F139" s="6" t="s">
        <v>86</v>
      </c>
      <c r="G139" s="6" t="s">
        <v>87</v>
      </c>
      <c r="H139" s="6" t="s">
        <v>105</v>
      </c>
      <c r="I139" s="6" t="s">
        <v>115</v>
      </c>
      <c r="J139" s="6" t="s">
        <v>127</v>
      </c>
      <c r="K139" s="6" t="s">
        <v>96</v>
      </c>
      <c r="L139" s="6">
        <v>3</v>
      </c>
      <c r="M139" s="6">
        <v>1382.11</v>
      </c>
      <c r="N139" s="6">
        <v>10</v>
      </c>
    </row>
    <row r="140" spans="1:14" x14ac:dyDescent="0.25">
      <c r="A140" s="6">
        <v>10399</v>
      </c>
      <c r="B140" s="6">
        <v>1111</v>
      </c>
      <c r="C140" s="11">
        <v>45228</v>
      </c>
      <c r="D140" s="11">
        <v>45237</v>
      </c>
      <c r="E140" s="6" t="s">
        <v>79</v>
      </c>
      <c r="F140" s="6" t="s">
        <v>79</v>
      </c>
      <c r="G140" s="6" t="s">
        <v>87</v>
      </c>
      <c r="H140" s="6" t="s">
        <v>105</v>
      </c>
      <c r="I140" s="6" t="s">
        <v>82</v>
      </c>
      <c r="J140" s="6" t="s">
        <v>106</v>
      </c>
      <c r="K140" s="6" t="s">
        <v>96</v>
      </c>
      <c r="L140" s="6">
        <v>3</v>
      </c>
      <c r="M140" s="6">
        <v>1789.86</v>
      </c>
      <c r="N140" s="6">
        <v>0</v>
      </c>
    </row>
    <row r="141" spans="1:14" x14ac:dyDescent="0.25">
      <c r="A141" s="6">
        <v>10441</v>
      </c>
      <c r="B141" s="6">
        <v>1229</v>
      </c>
      <c r="C141" s="11">
        <v>45116</v>
      </c>
      <c r="D141" s="11">
        <v>45119</v>
      </c>
      <c r="E141" s="6" t="s">
        <v>79</v>
      </c>
      <c r="F141" s="6" t="s">
        <v>86</v>
      </c>
      <c r="G141" s="6" t="s">
        <v>80</v>
      </c>
      <c r="H141" s="6" t="s">
        <v>105</v>
      </c>
      <c r="I141" s="6" t="s">
        <v>94</v>
      </c>
      <c r="J141" s="6" t="s">
        <v>128</v>
      </c>
      <c r="K141" s="6" t="s">
        <v>108</v>
      </c>
      <c r="L141" s="6">
        <v>3</v>
      </c>
      <c r="M141" s="6">
        <v>2189.4</v>
      </c>
      <c r="N141" s="6">
        <v>20</v>
      </c>
    </row>
    <row r="142" spans="1:14" x14ac:dyDescent="0.25">
      <c r="A142" s="6">
        <v>10017</v>
      </c>
      <c r="B142" s="6">
        <v>1099</v>
      </c>
      <c r="C142" s="11">
        <v>45148</v>
      </c>
      <c r="D142" s="11">
        <v>45151</v>
      </c>
      <c r="E142" s="6" t="s">
        <v>79</v>
      </c>
      <c r="F142" s="6" t="s">
        <v>117</v>
      </c>
      <c r="G142" s="6" t="s">
        <v>80</v>
      </c>
      <c r="H142" s="6" t="s">
        <v>107</v>
      </c>
      <c r="I142" s="6" t="s">
        <v>94</v>
      </c>
      <c r="J142" s="6" t="s">
        <v>102</v>
      </c>
      <c r="K142" s="6" t="s">
        <v>91</v>
      </c>
      <c r="L142" s="6">
        <v>2</v>
      </c>
      <c r="M142" s="6">
        <v>254.91</v>
      </c>
      <c r="N142" s="6">
        <v>15</v>
      </c>
    </row>
    <row r="143" spans="1:14" x14ac:dyDescent="0.25">
      <c r="A143" s="6">
        <v>10023</v>
      </c>
      <c r="B143" s="6">
        <v>1769</v>
      </c>
      <c r="C143" s="11">
        <v>45075</v>
      </c>
      <c r="D143" s="11">
        <v>45084</v>
      </c>
      <c r="E143" s="6" t="s">
        <v>79</v>
      </c>
      <c r="F143" s="6" t="s">
        <v>86</v>
      </c>
      <c r="G143" s="6" t="s">
        <v>80</v>
      </c>
      <c r="H143" s="6" t="s">
        <v>105</v>
      </c>
      <c r="I143" s="6" t="s">
        <v>94</v>
      </c>
      <c r="J143" s="6" t="s">
        <v>95</v>
      </c>
      <c r="K143" s="6" t="s">
        <v>108</v>
      </c>
      <c r="L143" s="6">
        <v>2</v>
      </c>
      <c r="M143" s="6">
        <v>2801.74</v>
      </c>
      <c r="N143" s="6">
        <v>20</v>
      </c>
    </row>
    <row r="144" spans="1:14" x14ac:dyDescent="0.25">
      <c r="A144" s="6">
        <v>10372</v>
      </c>
      <c r="B144" s="6">
        <v>1651</v>
      </c>
      <c r="C144" s="11">
        <v>45164</v>
      </c>
      <c r="D144" s="11">
        <v>45167</v>
      </c>
      <c r="E144" s="6" t="s">
        <v>79</v>
      </c>
      <c r="F144" s="6" t="s">
        <v>86</v>
      </c>
      <c r="G144" s="6" t="s">
        <v>87</v>
      </c>
      <c r="H144" s="6" t="s">
        <v>98</v>
      </c>
      <c r="I144" s="6" t="s">
        <v>112</v>
      </c>
      <c r="J144" s="6" t="s">
        <v>126</v>
      </c>
      <c r="K144" s="6" t="s">
        <v>84</v>
      </c>
      <c r="L144" s="6">
        <v>2</v>
      </c>
      <c r="M144" s="6">
        <v>3957.02</v>
      </c>
      <c r="N144" s="6">
        <v>5</v>
      </c>
    </row>
    <row r="145" spans="1:14" x14ac:dyDescent="0.25">
      <c r="A145" s="6">
        <v>10395</v>
      </c>
      <c r="B145" s="6">
        <v>1103</v>
      </c>
      <c r="C145" s="11">
        <v>45201</v>
      </c>
      <c r="D145" s="11">
        <v>45206</v>
      </c>
      <c r="E145" s="6" t="s">
        <v>79</v>
      </c>
      <c r="F145" s="6" t="s">
        <v>86</v>
      </c>
      <c r="G145" s="6" t="s">
        <v>87</v>
      </c>
      <c r="H145" s="6" t="s">
        <v>107</v>
      </c>
      <c r="I145" s="6" t="s">
        <v>89</v>
      </c>
      <c r="J145" s="6" t="s">
        <v>99</v>
      </c>
      <c r="K145" s="6" t="s">
        <v>108</v>
      </c>
      <c r="L145" s="6">
        <v>2</v>
      </c>
      <c r="M145" s="6">
        <v>610.30999999999995</v>
      </c>
      <c r="N145" s="6">
        <v>10</v>
      </c>
    </row>
    <row r="146" spans="1:14" x14ac:dyDescent="0.25">
      <c r="A146" s="6">
        <v>10485</v>
      </c>
      <c r="B146" s="6">
        <v>1992</v>
      </c>
      <c r="C146" s="11">
        <v>45228</v>
      </c>
      <c r="D146" s="11">
        <v>45237</v>
      </c>
      <c r="E146" s="6" t="s">
        <v>79</v>
      </c>
      <c r="F146" s="6" t="s">
        <v>79</v>
      </c>
      <c r="G146" s="6" t="s">
        <v>80</v>
      </c>
      <c r="H146" s="6" t="s">
        <v>105</v>
      </c>
      <c r="I146" s="6" t="s">
        <v>82</v>
      </c>
      <c r="J146" s="6" t="s">
        <v>106</v>
      </c>
      <c r="K146" s="6" t="s">
        <v>108</v>
      </c>
      <c r="L146" s="6">
        <v>2</v>
      </c>
      <c r="M146" s="6">
        <v>1294.8399999999999</v>
      </c>
      <c r="N146" s="6">
        <v>15</v>
      </c>
    </row>
    <row r="147" spans="1:14" x14ac:dyDescent="0.25">
      <c r="A147" s="6">
        <v>10067</v>
      </c>
      <c r="B147" s="6">
        <v>1600</v>
      </c>
      <c r="C147" s="11">
        <v>45037</v>
      </c>
      <c r="D147" s="11">
        <v>45038</v>
      </c>
      <c r="E147" s="6" t="s">
        <v>79</v>
      </c>
      <c r="F147" s="6" t="s">
        <v>104</v>
      </c>
      <c r="G147" s="6" t="s">
        <v>87</v>
      </c>
      <c r="H147" s="6" t="s">
        <v>105</v>
      </c>
      <c r="I147" s="6" t="s">
        <v>115</v>
      </c>
      <c r="J147" s="6" t="s">
        <v>127</v>
      </c>
      <c r="K147" s="6" t="s">
        <v>91</v>
      </c>
      <c r="L147" s="6">
        <v>1</v>
      </c>
      <c r="M147" s="6">
        <v>330.13</v>
      </c>
      <c r="N147" s="6">
        <v>15</v>
      </c>
    </row>
    <row r="148" spans="1:14" x14ac:dyDescent="0.25">
      <c r="A148" s="6">
        <v>10142</v>
      </c>
      <c r="B148" s="6">
        <v>1138</v>
      </c>
      <c r="C148" s="11">
        <v>45114</v>
      </c>
      <c r="D148" s="11">
        <v>45123</v>
      </c>
      <c r="E148" s="6" t="s">
        <v>79</v>
      </c>
      <c r="F148" s="6" t="s">
        <v>101</v>
      </c>
      <c r="G148" s="6" t="s">
        <v>80</v>
      </c>
      <c r="H148" s="6" t="s">
        <v>105</v>
      </c>
      <c r="I148" s="6" t="s">
        <v>112</v>
      </c>
      <c r="J148" s="6" t="s">
        <v>114</v>
      </c>
      <c r="K148" s="6" t="s">
        <v>96</v>
      </c>
      <c r="L148" s="6">
        <v>1</v>
      </c>
      <c r="M148" s="6">
        <v>2063.0500000000002</v>
      </c>
      <c r="N148" s="6">
        <v>0</v>
      </c>
    </row>
    <row r="149" spans="1:14" x14ac:dyDescent="0.25">
      <c r="A149" s="6">
        <v>10163</v>
      </c>
      <c r="B149" s="6">
        <v>1406</v>
      </c>
      <c r="C149" s="11">
        <v>45245</v>
      </c>
      <c r="D149" s="11">
        <v>45249</v>
      </c>
      <c r="E149" s="6" t="s">
        <v>79</v>
      </c>
      <c r="F149" s="6" t="s">
        <v>86</v>
      </c>
      <c r="G149" s="6" t="s">
        <v>93</v>
      </c>
      <c r="H149" s="6" t="s">
        <v>107</v>
      </c>
      <c r="I149" s="6" t="s">
        <v>115</v>
      </c>
      <c r="J149" s="6" t="s">
        <v>116</v>
      </c>
      <c r="K149" s="6" t="s">
        <v>108</v>
      </c>
      <c r="L149" s="6">
        <v>1</v>
      </c>
      <c r="M149" s="6">
        <v>1219.22</v>
      </c>
      <c r="N149" s="6">
        <v>20</v>
      </c>
    </row>
    <row r="150" spans="1:14" x14ac:dyDescent="0.25">
      <c r="A150" s="6">
        <v>10187</v>
      </c>
      <c r="B150" s="6">
        <v>1392</v>
      </c>
      <c r="C150" s="11">
        <v>44987</v>
      </c>
      <c r="D150" s="11">
        <v>44991</v>
      </c>
      <c r="E150" s="6" t="s">
        <v>79</v>
      </c>
      <c r="F150" s="6" t="s">
        <v>104</v>
      </c>
      <c r="G150" s="6" t="s">
        <v>80</v>
      </c>
      <c r="H150" s="6" t="s">
        <v>107</v>
      </c>
      <c r="I150" s="6" t="s">
        <v>82</v>
      </c>
      <c r="J150" s="6" t="s">
        <v>106</v>
      </c>
      <c r="K150" s="6" t="s">
        <v>96</v>
      </c>
      <c r="L150" s="6">
        <v>1</v>
      </c>
      <c r="M150" s="6">
        <v>1730.41</v>
      </c>
      <c r="N150" s="6">
        <v>10</v>
      </c>
    </row>
    <row r="151" spans="1:14" x14ac:dyDescent="0.25">
      <c r="A151" s="6">
        <v>10212</v>
      </c>
      <c r="B151" s="6">
        <v>1159</v>
      </c>
      <c r="C151" s="11">
        <v>45016</v>
      </c>
      <c r="D151" s="11">
        <v>45019</v>
      </c>
      <c r="E151" s="6" t="s">
        <v>79</v>
      </c>
      <c r="F151" s="6" t="s">
        <v>92</v>
      </c>
      <c r="G151" s="6" t="s">
        <v>93</v>
      </c>
      <c r="H151" s="6" t="s">
        <v>107</v>
      </c>
      <c r="I151" s="6" t="s">
        <v>89</v>
      </c>
      <c r="J151" s="6" t="s">
        <v>124</v>
      </c>
      <c r="K151" s="6" t="s">
        <v>96</v>
      </c>
      <c r="L151" s="6">
        <v>1</v>
      </c>
      <c r="M151" s="6">
        <v>2975.54</v>
      </c>
      <c r="N151" s="6">
        <v>15</v>
      </c>
    </row>
    <row r="152" spans="1:14" x14ac:dyDescent="0.25">
      <c r="A152" s="6">
        <v>10233</v>
      </c>
      <c r="B152" s="6">
        <v>1505</v>
      </c>
      <c r="C152" s="11">
        <v>45139</v>
      </c>
      <c r="D152" s="11">
        <v>45143</v>
      </c>
      <c r="E152" s="6" t="s">
        <v>79</v>
      </c>
      <c r="F152" s="6" t="s">
        <v>104</v>
      </c>
      <c r="G152" s="6" t="s">
        <v>80</v>
      </c>
      <c r="H152" s="6" t="s">
        <v>107</v>
      </c>
      <c r="I152" s="6" t="s">
        <v>82</v>
      </c>
      <c r="J152" s="6" t="s">
        <v>118</v>
      </c>
      <c r="K152" s="6" t="s">
        <v>110</v>
      </c>
      <c r="L152" s="6">
        <v>1</v>
      </c>
      <c r="M152" s="6">
        <v>556.53</v>
      </c>
      <c r="N152" s="6">
        <v>5</v>
      </c>
    </row>
    <row r="153" spans="1:14" x14ac:dyDescent="0.25">
      <c r="A153" s="6">
        <v>10246</v>
      </c>
      <c r="B153" s="6">
        <v>1744</v>
      </c>
      <c r="C153" s="11">
        <v>45131</v>
      </c>
      <c r="D153" s="11">
        <v>45139</v>
      </c>
      <c r="E153" s="6" t="s">
        <v>79</v>
      </c>
      <c r="F153" s="6" t="s">
        <v>92</v>
      </c>
      <c r="G153" s="6" t="s">
        <v>87</v>
      </c>
      <c r="H153" s="6" t="s">
        <v>88</v>
      </c>
      <c r="I153" s="6" t="s">
        <v>115</v>
      </c>
      <c r="J153" s="6" t="s">
        <v>116</v>
      </c>
      <c r="K153" s="6" t="s">
        <v>108</v>
      </c>
      <c r="L153" s="6">
        <v>1</v>
      </c>
      <c r="M153" s="6">
        <v>3082.45</v>
      </c>
      <c r="N153" s="6">
        <v>5</v>
      </c>
    </row>
    <row r="154" spans="1:14" x14ac:dyDescent="0.25">
      <c r="A154" s="6">
        <v>10336</v>
      </c>
      <c r="B154" s="6">
        <v>1962</v>
      </c>
      <c r="C154" s="11">
        <v>45069</v>
      </c>
      <c r="D154" s="11">
        <v>45072</v>
      </c>
      <c r="E154" s="6" t="s">
        <v>79</v>
      </c>
      <c r="F154" s="6" t="s">
        <v>104</v>
      </c>
      <c r="G154" s="6" t="s">
        <v>87</v>
      </c>
      <c r="H154" s="6" t="s">
        <v>105</v>
      </c>
      <c r="I154" s="6" t="s">
        <v>82</v>
      </c>
      <c r="J154" s="6" t="s">
        <v>132</v>
      </c>
      <c r="K154" s="6" t="s">
        <v>96</v>
      </c>
      <c r="L154" s="6">
        <v>1</v>
      </c>
      <c r="M154" s="6">
        <v>1126.5</v>
      </c>
      <c r="N154" s="6">
        <v>15</v>
      </c>
    </row>
    <row r="155" spans="1:14" x14ac:dyDescent="0.25">
      <c r="A155" s="6">
        <v>10359</v>
      </c>
      <c r="B155" s="6">
        <v>1297</v>
      </c>
      <c r="C155" s="11">
        <v>45104</v>
      </c>
      <c r="D155" s="11">
        <v>45105</v>
      </c>
      <c r="E155" s="6" t="s">
        <v>79</v>
      </c>
      <c r="F155" s="6" t="s">
        <v>104</v>
      </c>
      <c r="G155" s="6" t="s">
        <v>80</v>
      </c>
      <c r="H155" s="6" t="s">
        <v>88</v>
      </c>
      <c r="I155" s="6" t="s">
        <v>94</v>
      </c>
      <c r="J155" s="6" t="s">
        <v>111</v>
      </c>
      <c r="K155" s="6" t="s">
        <v>110</v>
      </c>
      <c r="L155" s="6">
        <v>1</v>
      </c>
      <c r="M155" s="6">
        <v>202.49</v>
      </c>
      <c r="N155" s="6">
        <v>5</v>
      </c>
    </row>
    <row r="156" spans="1:14" x14ac:dyDescent="0.25">
      <c r="A156" s="6">
        <v>10403</v>
      </c>
      <c r="B156" s="6">
        <v>1152</v>
      </c>
      <c r="C156" s="11">
        <v>45035</v>
      </c>
      <c r="D156" s="11">
        <v>45037</v>
      </c>
      <c r="E156" s="6" t="s">
        <v>79</v>
      </c>
      <c r="F156" s="6" t="s">
        <v>101</v>
      </c>
      <c r="G156" s="6" t="s">
        <v>87</v>
      </c>
      <c r="H156" s="6" t="s">
        <v>107</v>
      </c>
      <c r="I156" s="6" t="s">
        <v>89</v>
      </c>
      <c r="J156" s="6" t="s">
        <v>99</v>
      </c>
      <c r="K156" s="6" t="s">
        <v>84</v>
      </c>
      <c r="L156" s="6">
        <v>1</v>
      </c>
      <c r="M156" s="6">
        <v>2743.75</v>
      </c>
      <c r="N156" s="6">
        <v>15</v>
      </c>
    </row>
    <row r="157" spans="1:14" x14ac:dyDescent="0.25">
      <c r="A157" s="6">
        <v>10406</v>
      </c>
      <c r="B157" s="6">
        <v>1895</v>
      </c>
      <c r="C157" s="11">
        <v>45195</v>
      </c>
      <c r="D157" s="11">
        <v>45204</v>
      </c>
      <c r="E157" s="6" t="s">
        <v>79</v>
      </c>
      <c r="F157" s="6" t="s">
        <v>92</v>
      </c>
      <c r="G157" s="6" t="s">
        <v>93</v>
      </c>
      <c r="H157" s="6" t="s">
        <v>107</v>
      </c>
      <c r="I157" s="6" t="s">
        <v>112</v>
      </c>
      <c r="J157" s="6" t="s">
        <v>114</v>
      </c>
      <c r="K157" s="6" t="s">
        <v>84</v>
      </c>
      <c r="L157" s="6">
        <v>1</v>
      </c>
      <c r="M157" s="6">
        <v>2044.41</v>
      </c>
      <c r="N157" s="6">
        <v>0</v>
      </c>
    </row>
    <row r="158" spans="1:14" x14ac:dyDescent="0.25">
      <c r="A158" s="6">
        <v>10015</v>
      </c>
      <c r="B158" s="6">
        <v>1087</v>
      </c>
      <c r="C158" s="11">
        <v>45048</v>
      </c>
      <c r="D158" s="11">
        <v>45057</v>
      </c>
      <c r="E158" s="6" t="s">
        <v>103</v>
      </c>
      <c r="F158" s="6" t="s">
        <v>86</v>
      </c>
      <c r="G158" s="6" t="s">
        <v>87</v>
      </c>
      <c r="H158" s="6" t="s">
        <v>81</v>
      </c>
      <c r="I158" s="6" t="s">
        <v>115</v>
      </c>
      <c r="J158" s="6" t="s">
        <v>116</v>
      </c>
      <c r="K158" s="6" t="s">
        <v>84</v>
      </c>
      <c r="L158" s="6">
        <v>9</v>
      </c>
      <c r="M158" s="6">
        <v>705.59</v>
      </c>
      <c r="N158" s="6">
        <v>10</v>
      </c>
    </row>
    <row r="159" spans="1:14" x14ac:dyDescent="0.25">
      <c r="A159" s="6">
        <v>10093</v>
      </c>
      <c r="B159" s="6">
        <v>1565</v>
      </c>
      <c r="C159" s="11">
        <v>44980</v>
      </c>
      <c r="D159" s="11">
        <v>44982</v>
      </c>
      <c r="E159" s="6" t="s">
        <v>103</v>
      </c>
      <c r="F159" s="6" t="s">
        <v>92</v>
      </c>
      <c r="G159" s="6" t="s">
        <v>80</v>
      </c>
      <c r="H159" s="6" t="s">
        <v>105</v>
      </c>
      <c r="I159" s="6" t="s">
        <v>115</v>
      </c>
      <c r="J159" s="6" t="s">
        <v>119</v>
      </c>
      <c r="K159" s="6" t="s">
        <v>96</v>
      </c>
      <c r="L159" s="6">
        <v>9</v>
      </c>
      <c r="M159" s="6">
        <v>1938.76</v>
      </c>
      <c r="N159" s="6">
        <v>20</v>
      </c>
    </row>
    <row r="160" spans="1:14" x14ac:dyDescent="0.25">
      <c r="A160" s="6">
        <v>10114</v>
      </c>
      <c r="B160" s="6">
        <v>1701</v>
      </c>
      <c r="C160" s="11">
        <v>45219</v>
      </c>
      <c r="D160" s="11">
        <v>45227</v>
      </c>
      <c r="E160" s="6" t="s">
        <v>103</v>
      </c>
      <c r="F160" s="6" t="s">
        <v>86</v>
      </c>
      <c r="G160" s="6" t="s">
        <v>93</v>
      </c>
      <c r="H160" s="6" t="s">
        <v>88</v>
      </c>
      <c r="I160" s="6" t="s">
        <v>89</v>
      </c>
      <c r="J160" s="6" t="s">
        <v>131</v>
      </c>
      <c r="K160" s="6" t="s">
        <v>108</v>
      </c>
      <c r="L160" s="6">
        <v>9</v>
      </c>
      <c r="M160" s="6">
        <v>1206.3800000000001</v>
      </c>
      <c r="N160" s="6">
        <v>10</v>
      </c>
    </row>
    <row r="161" spans="1:14" x14ac:dyDescent="0.25">
      <c r="A161" s="6">
        <v>10202</v>
      </c>
      <c r="B161" s="6">
        <v>1733</v>
      </c>
      <c r="C161" s="11">
        <v>45228</v>
      </c>
      <c r="D161" s="11">
        <v>45229</v>
      </c>
      <c r="E161" s="6" t="s">
        <v>103</v>
      </c>
      <c r="F161" s="6" t="s">
        <v>117</v>
      </c>
      <c r="G161" s="6" t="s">
        <v>80</v>
      </c>
      <c r="H161" s="6" t="s">
        <v>81</v>
      </c>
      <c r="I161" s="6" t="s">
        <v>94</v>
      </c>
      <c r="J161" s="6" t="s">
        <v>128</v>
      </c>
      <c r="K161" s="6" t="s">
        <v>91</v>
      </c>
      <c r="L161" s="6">
        <v>9</v>
      </c>
      <c r="M161" s="6">
        <v>3072.48</v>
      </c>
      <c r="N161" s="6">
        <v>0</v>
      </c>
    </row>
    <row r="162" spans="1:14" x14ac:dyDescent="0.25">
      <c r="A162" s="6">
        <v>10235</v>
      </c>
      <c r="B162" s="6">
        <v>1472</v>
      </c>
      <c r="C162" s="11">
        <v>45032</v>
      </c>
      <c r="D162" s="11">
        <v>45040</v>
      </c>
      <c r="E162" s="6" t="s">
        <v>103</v>
      </c>
      <c r="F162" s="6" t="s">
        <v>92</v>
      </c>
      <c r="G162" s="6" t="s">
        <v>80</v>
      </c>
      <c r="H162" s="6" t="s">
        <v>98</v>
      </c>
      <c r="I162" s="6" t="s">
        <v>115</v>
      </c>
      <c r="J162" s="6" t="s">
        <v>123</v>
      </c>
      <c r="K162" s="6" t="s">
        <v>110</v>
      </c>
      <c r="L162" s="6">
        <v>9</v>
      </c>
      <c r="M162" s="6">
        <v>2677.09</v>
      </c>
      <c r="N162" s="6">
        <v>10</v>
      </c>
    </row>
    <row r="163" spans="1:14" x14ac:dyDescent="0.25">
      <c r="A163" s="6">
        <v>10277</v>
      </c>
      <c r="B163" s="6">
        <v>1386</v>
      </c>
      <c r="C163" s="11">
        <v>44995</v>
      </c>
      <c r="D163" s="11">
        <v>45001</v>
      </c>
      <c r="E163" s="6" t="s">
        <v>103</v>
      </c>
      <c r="F163" s="6" t="s">
        <v>104</v>
      </c>
      <c r="G163" s="6" t="s">
        <v>93</v>
      </c>
      <c r="H163" s="6" t="s">
        <v>81</v>
      </c>
      <c r="I163" s="6" t="s">
        <v>89</v>
      </c>
      <c r="J163" s="6" t="s">
        <v>131</v>
      </c>
      <c r="K163" s="6" t="s">
        <v>108</v>
      </c>
      <c r="L163" s="6">
        <v>9</v>
      </c>
      <c r="M163" s="6">
        <v>670.06</v>
      </c>
      <c r="N163" s="6">
        <v>20</v>
      </c>
    </row>
    <row r="164" spans="1:14" x14ac:dyDescent="0.25">
      <c r="A164" s="6">
        <v>10423</v>
      </c>
      <c r="B164" s="6">
        <v>1503</v>
      </c>
      <c r="C164" s="11">
        <v>45153</v>
      </c>
      <c r="D164" s="11">
        <v>45155</v>
      </c>
      <c r="E164" s="6" t="s">
        <v>103</v>
      </c>
      <c r="F164" s="6" t="s">
        <v>79</v>
      </c>
      <c r="G164" s="6" t="s">
        <v>87</v>
      </c>
      <c r="H164" s="6" t="s">
        <v>107</v>
      </c>
      <c r="I164" s="6" t="s">
        <v>115</v>
      </c>
      <c r="J164" s="6" t="s">
        <v>123</v>
      </c>
      <c r="K164" s="6" t="s">
        <v>110</v>
      </c>
      <c r="L164" s="6">
        <v>9</v>
      </c>
      <c r="M164" s="6">
        <v>3740.3</v>
      </c>
      <c r="N164" s="6">
        <v>10</v>
      </c>
    </row>
    <row r="165" spans="1:14" x14ac:dyDescent="0.25">
      <c r="A165" s="6">
        <v>10427</v>
      </c>
      <c r="B165" s="6">
        <v>1194</v>
      </c>
      <c r="C165" s="11">
        <v>45137</v>
      </c>
      <c r="D165" s="11">
        <v>45140</v>
      </c>
      <c r="E165" s="6" t="s">
        <v>103</v>
      </c>
      <c r="F165" s="6" t="s">
        <v>86</v>
      </c>
      <c r="G165" s="6" t="s">
        <v>87</v>
      </c>
      <c r="H165" s="6" t="s">
        <v>88</v>
      </c>
      <c r="I165" s="6" t="s">
        <v>82</v>
      </c>
      <c r="J165" s="6" t="s">
        <v>118</v>
      </c>
      <c r="K165" s="6" t="s">
        <v>91</v>
      </c>
      <c r="L165" s="6">
        <v>9</v>
      </c>
      <c r="M165" s="6">
        <v>2454.59</v>
      </c>
      <c r="N165" s="6">
        <v>5</v>
      </c>
    </row>
    <row r="166" spans="1:14" x14ac:dyDescent="0.25">
      <c r="A166" s="6">
        <v>10054</v>
      </c>
      <c r="B166" s="6">
        <v>1566</v>
      </c>
      <c r="C166" s="11">
        <v>45279</v>
      </c>
      <c r="D166" s="11">
        <v>45281</v>
      </c>
      <c r="E166" s="6" t="s">
        <v>103</v>
      </c>
      <c r="F166" s="6" t="s">
        <v>86</v>
      </c>
      <c r="G166" s="6" t="s">
        <v>87</v>
      </c>
      <c r="H166" s="6" t="s">
        <v>88</v>
      </c>
      <c r="I166" s="6" t="s">
        <v>112</v>
      </c>
      <c r="J166" s="6" t="s">
        <v>113</v>
      </c>
      <c r="K166" s="6" t="s">
        <v>84</v>
      </c>
      <c r="L166" s="6">
        <v>8</v>
      </c>
      <c r="M166" s="6">
        <v>1428.62</v>
      </c>
      <c r="N166" s="6">
        <v>10</v>
      </c>
    </row>
    <row r="167" spans="1:14" x14ac:dyDescent="0.25">
      <c r="A167" s="6">
        <v>10059</v>
      </c>
      <c r="B167" s="6">
        <v>1484</v>
      </c>
      <c r="C167" s="11">
        <v>44945</v>
      </c>
      <c r="D167" s="11">
        <v>44950</v>
      </c>
      <c r="E167" s="6" t="s">
        <v>103</v>
      </c>
      <c r="F167" s="6" t="s">
        <v>104</v>
      </c>
      <c r="G167" s="6" t="s">
        <v>87</v>
      </c>
      <c r="H167" s="6" t="s">
        <v>105</v>
      </c>
      <c r="I167" s="6" t="s">
        <v>115</v>
      </c>
      <c r="J167" s="6" t="s">
        <v>127</v>
      </c>
      <c r="K167" s="6" t="s">
        <v>96</v>
      </c>
      <c r="L167" s="6">
        <v>8</v>
      </c>
      <c r="M167" s="6">
        <v>2122.36</v>
      </c>
      <c r="N167" s="6">
        <v>0</v>
      </c>
    </row>
    <row r="168" spans="1:14" x14ac:dyDescent="0.25">
      <c r="A168" s="6">
        <v>10144</v>
      </c>
      <c r="B168" s="6">
        <v>1592</v>
      </c>
      <c r="C168" s="11">
        <v>45231</v>
      </c>
      <c r="D168" s="11">
        <v>45234</v>
      </c>
      <c r="E168" s="6" t="s">
        <v>103</v>
      </c>
      <c r="F168" s="6" t="s">
        <v>117</v>
      </c>
      <c r="G168" s="6" t="s">
        <v>93</v>
      </c>
      <c r="H168" s="6" t="s">
        <v>81</v>
      </c>
      <c r="I168" s="6" t="s">
        <v>82</v>
      </c>
      <c r="J168" s="6" t="s">
        <v>118</v>
      </c>
      <c r="K168" s="6" t="s">
        <v>96</v>
      </c>
      <c r="L168" s="6">
        <v>8</v>
      </c>
      <c r="M168" s="6">
        <v>3138.72</v>
      </c>
      <c r="N168" s="6">
        <v>20</v>
      </c>
    </row>
    <row r="169" spans="1:14" x14ac:dyDescent="0.25">
      <c r="A169" s="6">
        <v>10209</v>
      </c>
      <c r="B169" s="6">
        <v>1540</v>
      </c>
      <c r="C169" s="11">
        <v>45187</v>
      </c>
      <c r="D169" s="11">
        <v>45193</v>
      </c>
      <c r="E169" s="6" t="s">
        <v>103</v>
      </c>
      <c r="F169" s="6" t="s">
        <v>79</v>
      </c>
      <c r="G169" s="6" t="s">
        <v>80</v>
      </c>
      <c r="H169" s="6" t="s">
        <v>105</v>
      </c>
      <c r="I169" s="6" t="s">
        <v>112</v>
      </c>
      <c r="J169" s="6" t="s">
        <v>113</v>
      </c>
      <c r="K169" s="6" t="s">
        <v>108</v>
      </c>
      <c r="L169" s="6">
        <v>8</v>
      </c>
      <c r="M169" s="6">
        <v>1291.1099999999999</v>
      </c>
      <c r="N169" s="6">
        <v>15</v>
      </c>
    </row>
    <row r="170" spans="1:14" x14ac:dyDescent="0.25">
      <c r="A170" s="6">
        <v>10266</v>
      </c>
      <c r="B170" s="6">
        <v>1232</v>
      </c>
      <c r="C170" s="11">
        <v>45129</v>
      </c>
      <c r="D170" s="11">
        <v>45134</v>
      </c>
      <c r="E170" s="6" t="s">
        <v>103</v>
      </c>
      <c r="F170" s="6" t="s">
        <v>79</v>
      </c>
      <c r="G170" s="6" t="s">
        <v>93</v>
      </c>
      <c r="H170" s="6" t="s">
        <v>98</v>
      </c>
      <c r="I170" s="6" t="s">
        <v>89</v>
      </c>
      <c r="J170" s="6" t="s">
        <v>124</v>
      </c>
      <c r="K170" s="6" t="s">
        <v>96</v>
      </c>
      <c r="L170" s="6">
        <v>8</v>
      </c>
      <c r="M170" s="6">
        <v>2045.09</v>
      </c>
      <c r="N170" s="6">
        <v>10</v>
      </c>
    </row>
    <row r="171" spans="1:14" x14ac:dyDescent="0.25">
      <c r="A171" s="6">
        <v>10393</v>
      </c>
      <c r="B171" s="6">
        <v>1419</v>
      </c>
      <c r="C171" s="11">
        <v>45186</v>
      </c>
      <c r="D171" s="11">
        <v>45191</v>
      </c>
      <c r="E171" s="6" t="s">
        <v>103</v>
      </c>
      <c r="F171" s="6" t="s">
        <v>86</v>
      </c>
      <c r="G171" s="6" t="s">
        <v>87</v>
      </c>
      <c r="H171" s="6" t="s">
        <v>98</v>
      </c>
      <c r="I171" s="6" t="s">
        <v>115</v>
      </c>
      <c r="J171" s="6" t="s">
        <v>123</v>
      </c>
      <c r="K171" s="6" t="s">
        <v>108</v>
      </c>
      <c r="L171" s="6">
        <v>8</v>
      </c>
      <c r="M171" s="6">
        <v>2993.25</v>
      </c>
      <c r="N171" s="6">
        <v>10</v>
      </c>
    </row>
    <row r="172" spans="1:14" x14ac:dyDescent="0.25">
      <c r="A172" s="6">
        <v>10418</v>
      </c>
      <c r="B172" s="6">
        <v>1800</v>
      </c>
      <c r="C172" s="11">
        <v>45279</v>
      </c>
      <c r="D172" s="11">
        <v>45280</v>
      </c>
      <c r="E172" s="6" t="s">
        <v>103</v>
      </c>
      <c r="F172" s="6" t="s">
        <v>117</v>
      </c>
      <c r="G172" s="6" t="s">
        <v>87</v>
      </c>
      <c r="H172" s="6" t="s">
        <v>98</v>
      </c>
      <c r="I172" s="6" t="s">
        <v>115</v>
      </c>
      <c r="J172" s="6" t="s">
        <v>119</v>
      </c>
      <c r="K172" s="6" t="s">
        <v>96</v>
      </c>
      <c r="L172" s="6">
        <v>8</v>
      </c>
      <c r="M172" s="6">
        <v>3905.57</v>
      </c>
      <c r="N172" s="6">
        <v>10</v>
      </c>
    </row>
    <row r="173" spans="1:14" x14ac:dyDescent="0.25">
      <c r="A173" s="6">
        <v>10035</v>
      </c>
      <c r="B173" s="6">
        <v>1021</v>
      </c>
      <c r="C173" s="11">
        <v>45012</v>
      </c>
      <c r="D173" s="11">
        <v>45013</v>
      </c>
      <c r="E173" s="6" t="s">
        <v>103</v>
      </c>
      <c r="F173" s="6" t="s">
        <v>92</v>
      </c>
      <c r="G173" s="6" t="s">
        <v>93</v>
      </c>
      <c r="H173" s="6" t="s">
        <v>107</v>
      </c>
      <c r="I173" s="6" t="s">
        <v>94</v>
      </c>
      <c r="J173" s="6" t="s">
        <v>111</v>
      </c>
      <c r="K173" s="6" t="s">
        <v>110</v>
      </c>
      <c r="L173" s="6">
        <v>7</v>
      </c>
      <c r="M173" s="6">
        <v>3664.64</v>
      </c>
      <c r="N173" s="6">
        <v>5</v>
      </c>
    </row>
    <row r="174" spans="1:14" x14ac:dyDescent="0.25">
      <c r="A174" s="6">
        <v>10087</v>
      </c>
      <c r="B174" s="6">
        <v>1931</v>
      </c>
      <c r="C174" s="11">
        <v>45038</v>
      </c>
      <c r="D174" s="11">
        <v>45045</v>
      </c>
      <c r="E174" s="6" t="s">
        <v>103</v>
      </c>
      <c r="F174" s="6" t="s">
        <v>92</v>
      </c>
      <c r="G174" s="6" t="s">
        <v>80</v>
      </c>
      <c r="H174" s="6" t="s">
        <v>81</v>
      </c>
      <c r="I174" s="6" t="s">
        <v>94</v>
      </c>
      <c r="J174" s="6" t="s">
        <v>102</v>
      </c>
      <c r="K174" s="6" t="s">
        <v>110</v>
      </c>
      <c r="L174" s="6">
        <v>7</v>
      </c>
      <c r="M174" s="6">
        <v>1373.12</v>
      </c>
      <c r="N174" s="6">
        <v>5</v>
      </c>
    </row>
    <row r="175" spans="1:14" x14ac:dyDescent="0.25">
      <c r="A175" s="6">
        <v>10120</v>
      </c>
      <c r="B175" s="6">
        <v>1878</v>
      </c>
      <c r="C175" s="11">
        <v>45186</v>
      </c>
      <c r="D175" s="11">
        <v>45187</v>
      </c>
      <c r="E175" s="6" t="s">
        <v>103</v>
      </c>
      <c r="F175" s="6" t="s">
        <v>86</v>
      </c>
      <c r="G175" s="6" t="s">
        <v>87</v>
      </c>
      <c r="H175" s="6" t="s">
        <v>105</v>
      </c>
      <c r="I175" s="6" t="s">
        <v>115</v>
      </c>
      <c r="J175" s="6" t="s">
        <v>116</v>
      </c>
      <c r="K175" s="6" t="s">
        <v>110</v>
      </c>
      <c r="L175" s="6">
        <v>7</v>
      </c>
      <c r="M175" s="6">
        <v>2894.46</v>
      </c>
      <c r="N175" s="6">
        <v>5</v>
      </c>
    </row>
    <row r="176" spans="1:14" x14ac:dyDescent="0.25">
      <c r="A176" s="6">
        <v>10167</v>
      </c>
      <c r="B176" s="6">
        <v>1098</v>
      </c>
      <c r="C176" s="11">
        <v>45177</v>
      </c>
      <c r="D176" s="11">
        <v>45182</v>
      </c>
      <c r="E176" s="6" t="s">
        <v>103</v>
      </c>
      <c r="F176" s="6" t="s">
        <v>104</v>
      </c>
      <c r="G176" s="6" t="s">
        <v>93</v>
      </c>
      <c r="H176" s="6" t="s">
        <v>105</v>
      </c>
      <c r="I176" s="6" t="s">
        <v>94</v>
      </c>
      <c r="J176" s="6" t="s">
        <v>95</v>
      </c>
      <c r="K176" s="6" t="s">
        <v>108</v>
      </c>
      <c r="L176" s="6">
        <v>7</v>
      </c>
      <c r="M176" s="6">
        <v>1767.02</v>
      </c>
      <c r="N176" s="6">
        <v>15</v>
      </c>
    </row>
    <row r="177" spans="1:14" x14ac:dyDescent="0.25">
      <c r="A177" s="6">
        <v>10178</v>
      </c>
      <c r="B177" s="6">
        <v>1642</v>
      </c>
      <c r="C177" s="11">
        <v>45124</v>
      </c>
      <c r="D177" s="11">
        <v>45126</v>
      </c>
      <c r="E177" s="6" t="s">
        <v>103</v>
      </c>
      <c r="F177" s="6" t="s">
        <v>92</v>
      </c>
      <c r="G177" s="6" t="s">
        <v>80</v>
      </c>
      <c r="H177" s="6" t="s">
        <v>81</v>
      </c>
      <c r="I177" s="6" t="s">
        <v>89</v>
      </c>
      <c r="J177" s="6" t="s">
        <v>124</v>
      </c>
      <c r="K177" s="6" t="s">
        <v>108</v>
      </c>
      <c r="L177" s="6">
        <v>7</v>
      </c>
      <c r="M177" s="6">
        <v>174.09</v>
      </c>
      <c r="N177" s="6">
        <v>10</v>
      </c>
    </row>
    <row r="178" spans="1:14" x14ac:dyDescent="0.25">
      <c r="A178" s="6">
        <v>10191</v>
      </c>
      <c r="B178" s="6">
        <v>1553</v>
      </c>
      <c r="C178" s="11">
        <v>45033</v>
      </c>
      <c r="D178" s="11">
        <v>45039</v>
      </c>
      <c r="E178" s="6" t="s">
        <v>103</v>
      </c>
      <c r="F178" s="6" t="s">
        <v>92</v>
      </c>
      <c r="G178" s="6" t="s">
        <v>93</v>
      </c>
      <c r="H178" s="6" t="s">
        <v>98</v>
      </c>
      <c r="I178" s="6" t="s">
        <v>115</v>
      </c>
      <c r="J178" s="6" t="s">
        <v>119</v>
      </c>
      <c r="K178" s="6" t="s">
        <v>84</v>
      </c>
      <c r="L178" s="6">
        <v>7</v>
      </c>
      <c r="M178" s="6">
        <v>1148.6500000000001</v>
      </c>
      <c r="N178" s="6">
        <v>15</v>
      </c>
    </row>
    <row r="179" spans="1:14" x14ac:dyDescent="0.25">
      <c r="A179" s="6">
        <v>10263</v>
      </c>
      <c r="B179" s="6">
        <v>1671</v>
      </c>
      <c r="C179" s="11">
        <v>45053</v>
      </c>
      <c r="D179" s="11">
        <v>45059</v>
      </c>
      <c r="E179" s="6" t="s">
        <v>103</v>
      </c>
      <c r="F179" s="6" t="s">
        <v>101</v>
      </c>
      <c r="G179" s="6" t="s">
        <v>93</v>
      </c>
      <c r="H179" s="6" t="s">
        <v>98</v>
      </c>
      <c r="I179" s="6" t="s">
        <v>112</v>
      </c>
      <c r="J179" s="6" t="s">
        <v>126</v>
      </c>
      <c r="K179" s="6" t="s">
        <v>96</v>
      </c>
      <c r="L179" s="6">
        <v>7</v>
      </c>
      <c r="M179" s="6">
        <v>2165.86</v>
      </c>
      <c r="N179" s="6">
        <v>0</v>
      </c>
    </row>
    <row r="180" spans="1:14" x14ac:dyDescent="0.25">
      <c r="A180" s="6">
        <v>10448</v>
      </c>
      <c r="B180" s="6">
        <v>1225</v>
      </c>
      <c r="C180" s="11">
        <v>45240</v>
      </c>
      <c r="D180" s="11">
        <v>45247</v>
      </c>
      <c r="E180" s="6" t="s">
        <v>103</v>
      </c>
      <c r="F180" s="6" t="s">
        <v>101</v>
      </c>
      <c r="G180" s="6" t="s">
        <v>93</v>
      </c>
      <c r="H180" s="6" t="s">
        <v>81</v>
      </c>
      <c r="I180" s="6" t="s">
        <v>82</v>
      </c>
      <c r="J180" s="6" t="s">
        <v>83</v>
      </c>
      <c r="K180" s="6" t="s">
        <v>96</v>
      </c>
      <c r="L180" s="6">
        <v>7</v>
      </c>
      <c r="M180" s="6">
        <v>2568.2600000000002</v>
      </c>
      <c r="N180" s="6">
        <v>10</v>
      </c>
    </row>
    <row r="181" spans="1:14" x14ac:dyDescent="0.25">
      <c r="A181" s="6">
        <v>10493</v>
      </c>
      <c r="B181" s="6">
        <v>1255</v>
      </c>
      <c r="C181" s="11">
        <v>45041</v>
      </c>
      <c r="D181" s="11">
        <v>45043</v>
      </c>
      <c r="E181" s="6" t="s">
        <v>103</v>
      </c>
      <c r="F181" s="6" t="s">
        <v>79</v>
      </c>
      <c r="G181" s="6" t="s">
        <v>87</v>
      </c>
      <c r="H181" s="6" t="s">
        <v>107</v>
      </c>
      <c r="I181" s="6" t="s">
        <v>112</v>
      </c>
      <c r="J181" s="6" t="s">
        <v>130</v>
      </c>
      <c r="K181" s="6" t="s">
        <v>91</v>
      </c>
      <c r="L181" s="6">
        <v>7</v>
      </c>
      <c r="M181" s="6">
        <v>1550.03</v>
      </c>
      <c r="N181" s="6">
        <v>10</v>
      </c>
    </row>
    <row r="182" spans="1:14" x14ac:dyDescent="0.25">
      <c r="A182" s="6">
        <v>10028</v>
      </c>
      <c r="B182" s="6">
        <v>1385</v>
      </c>
      <c r="C182" s="11">
        <v>45164</v>
      </c>
      <c r="D182" s="11">
        <v>45172</v>
      </c>
      <c r="E182" s="6" t="s">
        <v>103</v>
      </c>
      <c r="F182" s="6" t="s">
        <v>86</v>
      </c>
      <c r="G182" s="6" t="s">
        <v>87</v>
      </c>
      <c r="H182" s="6" t="s">
        <v>88</v>
      </c>
      <c r="I182" s="6" t="s">
        <v>112</v>
      </c>
      <c r="J182" s="6" t="s">
        <v>114</v>
      </c>
      <c r="K182" s="6" t="s">
        <v>96</v>
      </c>
      <c r="L182" s="6">
        <v>6</v>
      </c>
      <c r="M182" s="6">
        <v>3206.63</v>
      </c>
      <c r="N182" s="6">
        <v>20</v>
      </c>
    </row>
    <row r="183" spans="1:14" x14ac:dyDescent="0.25">
      <c r="A183" s="6">
        <v>10050</v>
      </c>
      <c r="B183" s="6">
        <v>1686</v>
      </c>
      <c r="C183" s="11">
        <v>44970</v>
      </c>
      <c r="D183" s="11">
        <v>44978</v>
      </c>
      <c r="E183" s="6" t="s">
        <v>103</v>
      </c>
      <c r="F183" s="6" t="s">
        <v>79</v>
      </c>
      <c r="G183" s="6" t="s">
        <v>80</v>
      </c>
      <c r="H183" s="6" t="s">
        <v>105</v>
      </c>
      <c r="I183" s="6" t="s">
        <v>89</v>
      </c>
      <c r="J183" s="6" t="s">
        <v>124</v>
      </c>
      <c r="K183" s="6" t="s">
        <v>91</v>
      </c>
      <c r="L183" s="6">
        <v>6</v>
      </c>
      <c r="M183" s="6">
        <v>1350.44</v>
      </c>
      <c r="N183" s="6">
        <v>20</v>
      </c>
    </row>
    <row r="184" spans="1:14" x14ac:dyDescent="0.25">
      <c r="A184" s="6">
        <v>10063</v>
      </c>
      <c r="B184" s="6">
        <v>1840</v>
      </c>
      <c r="C184" s="11">
        <v>45034</v>
      </c>
      <c r="D184" s="11">
        <v>45043</v>
      </c>
      <c r="E184" s="6" t="s">
        <v>103</v>
      </c>
      <c r="F184" s="6" t="s">
        <v>86</v>
      </c>
      <c r="G184" s="6" t="s">
        <v>93</v>
      </c>
      <c r="H184" s="6" t="s">
        <v>105</v>
      </c>
      <c r="I184" s="6" t="s">
        <v>120</v>
      </c>
      <c r="J184" s="6" t="s">
        <v>125</v>
      </c>
      <c r="K184" s="6" t="s">
        <v>91</v>
      </c>
      <c r="L184" s="6">
        <v>6</v>
      </c>
      <c r="M184" s="6">
        <v>2645.71</v>
      </c>
      <c r="N184" s="6">
        <v>10</v>
      </c>
    </row>
    <row r="185" spans="1:14" x14ac:dyDescent="0.25">
      <c r="A185" s="6">
        <v>10117</v>
      </c>
      <c r="B185" s="6">
        <v>1719</v>
      </c>
      <c r="C185" s="11">
        <v>45285</v>
      </c>
      <c r="D185" s="11">
        <v>45293</v>
      </c>
      <c r="E185" s="6" t="s">
        <v>103</v>
      </c>
      <c r="F185" s="6" t="s">
        <v>117</v>
      </c>
      <c r="G185" s="6" t="s">
        <v>80</v>
      </c>
      <c r="H185" s="6" t="s">
        <v>105</v>
      </c>
      <c r="I185" s="6" t="s">
        <v>120</v>
      </c>
      <c r="J185" s="6" t="s">
        <v>121</v>
      </c>
      <c r="K185" s="6" t="s">
        <v>110</v>
      </c>
      <c r="L185" s="6">
        <v>6</v>
      </c>
      <c r="M185" s="6">
        <v>3554.77</v>
      </c>
      <c r="N185" s="6">
        <v>20</v>
      </c>
    </row>
    <row r="186" spans="1:14" x14ac:dyDescent="0.25">
      <c r="A186" s="6">
        <v>10135</v>
      </c>
      <c r="B186" s="6">
        <v>1838</v>
      </c>
      <c r="C186" s="11">
        <v>44981</v>
      </c>
      <c r="D186" s="11">
        <v>44990</v>
      </c>
      <c r="E186" s="6" t="s">
        <v>103</v>
      </c>
      <c r="F186" s="6" t="s">
        <v>79</v>
      </c>
      <c r="G186" s="6" t="s">
        <v>80</v>
      </c>
      <c r="H186" s="6" t="s">
        <v>88</v>
      </c>
      <c r="I186" s="6" t="s">
        <v>82</v>
      </c>
      <c r="J186" s="6" t="s">
        <v>106</v>
      </c>
      <c r="K186" s="6" t="s">
        <v>110</v>
      </c>
      <c r="L186" s="6">
        <v>6</v>
      </c>
      <c r="M186" s="6">
        <v>1919.66</v>
      </c>
      <c r="N186" s="6">
        <v>5</v>
      </c>
    </row>
    <row r="187" spans="1:14" x14ac:dyDescent="0.25">
      <c r="A187" s="6">
        <v>10156</v>
      </c>
      <c r="B187" s="6">
        <v>1200</v>
      </c>
      <c r="C187" s="11">
        <v>45099</v>
      </c>
      <c r="D187" s="11">
        <v>45106</v>
      </c>
      <c r="E187" s="6" t="s">
        <v>103</v>
      </c>
      <c r="F187" s="6" t="s">
        <v>101</v>
      </c>
      <c r="G187" s="6" t="s">
        <v>87</v>
      </c>
      <c r="H187" s="6" t="s">
        <v>81</v>
      </c>
      <c r="I187" s="6" t="s">
        <v>120</v>
      </c>
      <c r="J187" s="6" t="s">
        <v>122</v>
      </c>
      <c r="K187" s="6" t="s">
        <v>108</v>
      </c>
      <c r="L187" s="6">
        <v>6</v>
      </c>
      <c r="M187" s="6">
        <v>445.71</v>
      </c>
      <c r="N187" s="6">
        <v>15</v>
      </c>
    </row>
    <row r="188" spans="1:14" x14ac:dyDescent="0.25">
      <c r="A188" s="6">
        <v>10241</v>
      </c>
      <c r="B188" s="6">
        <v>1282</v>
      </c>
      <c r="C188" s="11">
        <v>45046</v>
      </c>
      <c r="D188" s="11">
        <v>45049</v>
      </c>
      <c r="E188" s="6" t="s">
        <v>103</v>
      </c>
      <c r="F188" s="6" t="s">
        <v>104</v>
      </c>
      <c r="G188" s="6" t="s">
        <v>93</v>
      </c>
      <c r="H188" s="6" t="s">
        <v>81</v>
      </c>
      <c r="I188" s="6" t="s">
        <v>82</v>
      </c>
      <c r="J188" s="6" t="s">
        <v>132</v>
      </c>
      <c r="K188" s="6" t="s">
        <v>96</v>
      </c>
      <c r="L188" s="6">
        <v>6</v>
      </c>
      <c r="M188" s="6">
        <v>1861.43</v>
      </c>
      <c r="N188" s="6">
        <v>0</v>
      </c>
    </row>
    <row r="189" spans="1:14" x14ac:dyDescent="0.25">
      <c r="A189" s="6">
        <v>10253</v>
      </c>
      <c r="B189" s="6">
        <v>1317</v>
      </c>
      <c r="C189" s="11">
        <v>45033</v>
      </c>
      <c r="D189" s="11">
        <v>45034</v>
      </c>
      <c r="E189" s="6" t="s">
        <v>103</v>
      </c>
      <c r="F189" s="6" t="s">
        <v>104</v>
      </c>
      <c r="G189" s="6" t="s">
        <v>87</v>
      </c>
      <c r="H189" s="6" t="s">
        <v>98</v>
      </c>
      <c r="I189" s="6" t="s">
        <v>82</v>
      </c>
      <c r="J189" s="6" t="s">
        <v>83</v>
      </c>
      <c r="K189" s="6" t="s">
        <v>110</v>
      </c>
      <c r="L189" s="6">
        <v>5</v>
      </c>
      <c r="M189" s="6">
        <v>2532.27</v>
      </c>
      <c r="N189" s="6">
        <v>15</v>
      </c>
    </row>
    <row r="190" spans="1:14" x14ac:dyDescent="0.25">
      <c r="A190" s="6">
        <v>10075</v>
      </c>
      <c r="B190" s="6">
        <v>1339</v>
      </c>
      <c r="C190" s="11">
        <v>45187</v>
      </c>
      <c r="D190" s="11">
        <v>45196</v>
      </c>
      <c r="E190" s="6" t="s">
        <v>103</v>
      </c>
      <c r="F190" s="6" t="s">
        <v>79</v>
      </c>
      <c r="G190" s="6" t="s">
        <v>93</v>
      </c>
      <c r="H190" s="6" t="s">
        <v>105</v>
      </c>
      <c r="I190" s="6" t="s">
        <v>120</v>
      </c>
      <c r="J190" s="6" t="s">
        <v>121</v>
      </c>
      <c r="K190" s="6" t="s">
        <v>108</v>
      </c>
      <c r="L190" s="6">
        <v>4</v>
      </c>
      <c r="M190" s="6">
        <v>2220.46</v>
      </c>
      <c r="N190" s="6">
        <v>0</v>
      </c>
    </row>
    <row r="191" spans="1:14" x14ac:dyDescent="0.25">
      <c r="A191" s="6">
        <v>10146</v>
      </c>
      <c r="B191" s="6">
        <v>1674</v>
      </c>
      <c r="C191" s="11">
        <v>45137</v>
      </c>
      <c r="D191" s="11">
        <v>45145</v>
      </c>
      <c r="E191" s="6" t="s">
        <v>103</v>
      </c>
      <c r="F191" s="6" t="s">
        <v>104</v>
      </c>
      <c r="G191" s="6" t="s">
        <v>93</v>
      </c>
      <c r="H191" s="6" t="s">
        <v>105</v>
      </c>
      <c r="I191" s="6" t="s">
        <v>120</v>
      </c>
      <c r="J191" s="6" t="s">
        <v>125</v>
      </c>
      <c r="K191" s="6" t="s">
        <v>96</v>
      </c>
      <c r="L191" s="6">
        <v>4</v>
      </c>
      <c r="M191" s="6">
        <v>2326.87</v>
      </c>
      <c r="N191" s="6">
        <v>15</v>
      </c>
    </row>
    <row r="192" spans="1:14" x14ac:dyDescent="0.25">
      <c r="A192" s="6">
        <v>10164</v>
      </c>
      <c r="B192" s="6">
        <v>1573</v>
      </c>
      <c r="C192" s="11">
        <v>45042</v>
      </c>
      <c r="D192" s="11">
        <v>45043</v>
      </c>
      <c r="E192" s="6" t="s">
        <v>103</v>
      </c>
      <c r="F192" s="6" t="s">
        <v>79</v>
      </c>
      <c r="G192" s="6" t="s">
        <v>87</v>
      </c>
      <c r="H192" s="6" t="s">
        <v>98</v>
      </c>
      <c r="I192" s="6" t="s">
        <v>115</v>
      </c>
      <c r="J192" s="6" t="s">
        <v>127</v>
      </c>
      <c r="K192" s="6" t="s">
        <v>108</v>
      </c>
      <c r="L192" s="6">
        <v>4</v>
      </c>
      <c r="M192" s="6">
        <v>288.33</v>
      </c>
      <c r="N192" s="6">
        <v>20</v>
      </c>
    </row>
    <row r="193" spans="1:14" x14ac:dyDescent="0.25">
      <c r="A193" s="6">
        <v>10304</v>
      </c>
      <c r="B193" s="6">
        <v>1835</v>
      </c>
      <c r="C193" s="11">
        <v>45024</v>
      </c>
      <c r="D193" s="11">
        <v>45027</v>
      </c>
      <c r="E193" s="6" t="s">
        <v>103</v>
      </c>
      <c r="F193" s="6" t="s">
        <v>86</v>
      </c>
      <c r="G193" s="6" t="s">
        <v>87</v>
      </c>
      <c r="H193" s="6" t="s">
        <v>88</v>
      </c>
      <c r="I193" s="6" t="s">
        <v>89</v>
      </c>
      <c r="J193" s="6" t="s">
        <v>124</v>
      </c>
      <c r="K193" s="6" t="s">
        <v>84</v>
      </c>
      <c r="L193" s="6">
        <v>4</v>
      </c>
      <c r="M193" s="6">
        <v>2547.52</v>
      </c>
      <c r="N193" s="6">
        <v>20</v>
      </c>
    </row>
    <row r="194" spans="1:14" x14ac:dyDescent="0.25">
      <c r="A194" s="6">
        <v>10487</v>
      </c>
      <c r="B194" s="6">
        <v>1190</v>
      </c>
      <c r="C194" s="11">
        <v>44965</v>
      </c>
      <c r="D194" s="11">
        <v>44966</v>
      </c>
      <c r="E194" s="6" t="s">
        <v>103</v>
      </c>
      <c r="F194" s="6" t="s">
        <v>79</v>
      </c>
      <c r="G194" s="6" t="s">
        <v>93</v>
      </c>
      <c r="H194" s="6" t="s">
        <v>88</v>
      </c>
      <c r="I194" s="6" t="s">
        <v>115</v>
      </c>
      <c r="J194" s="6" t="s">
        <v>116</v>
      </c>
      <c r="K194" s="6" t="s">
        <v>84</v>
      </c>
      <c r="L194" s="6">
        <v>4</v>
      </c>
      <c r="M194" s="6">
        <v>2751.14</v>
      </c>
      <c r="N194" s="6">
        <v>20</v>
      </c>
    </row>
    <row r="195" spans="1:14" x14ac:dyDescent="0.25">
      <c r="A195" s="6">
        <v>10006</v>
      </c>
      <c r="B195" s="6">
        <v>1071</v>
      </c>
      <c r="C195" s="11">
        <v>45260</v>
      </c>
      <c r="D195" s="11">
        <v>45263</v>
      </c>
      <c r="E195" s="6" t="s">
        <v>103</v>
      </c>
      <c r="F195" s="6" t="s">
        <v>104</v>
      </c>
      <c r="G195" s="6" t="s">
        <v>87</v>
      </c>
      <c r="H195" s="6" t="s">
        <v>105</v>
      </c>
      <c r="I195" s="6" t="s">
        <v>82</v>
      </c>
      <c r="J195" s="6" t="s">
        <v>106</v>
      </c>
      <c r="K195" s="6" t="s">
        <v>96</v>
      </c>
      <c r="L195" s="6">
        <v>3</v>
      </c>
      <c r="M195" s="6">
        <v>3189.55</v>
      </c>
      <c r="N195" s="6">
        <v>10</v>
      </c>
    </row>
    <row r="196" spans="1:14" x14ac:dyDescent="0.25">
      <c r="A196" s="6">
        <v>10095</v>
      </c>
      <c r="B196" s="6">
        <v>1771</v>
      </c>
      <c r="C196" s="11">
        <v>45135</v>
      </c>
      <c r="D196" s="11">
        <v>45137</v>
      </c>
      <c r="E196" s="6" t="s">
        <v>103</v>
      </c>
      <c r="F196" s="6" t="s">
        <v>117</v>
      </c>
      <c r="G196" s="6" t="s">
        <v>93</v>
      </c>
      <c r="H196" s="6" t="s">
        <v>105</v>
      </c>
      <c r="I196" s="6" t="s">
        <v>112</v>
      </c>
      <c r="J196" s="6" t="s">
        <v>113</v>
      </c>
      <c r="K196" s="6" t="s">
        <v>110</v>
      </c>
      <c r="L196" s="6">
        <v>3</v>
      </c>
      <c r="M196" s="6">
        <v>1368.86</v>
      </c>
      <c r="N196" s="6">
        <v>10</v>
      </c>
    </row>
    <row r="197" spans="1:14" x14ac:dyDescent="0.25">
      <c r="A197" s="6">
        <v>10188</v>
      </c>
      <c r="B197" s="6">
        <v>1206</v>
      </c>
      <c r="C197" s="11">
        <v>45064</v>
      </c>
      <c r="D197" s="11">
        <v>45070</v>
      </c>
      <c r="E197" s="6" t="s">
        <v>103</v>
      </c>
      <c r="F197" s="6" t="s">
        <v>117</v>
      </c>
      <c r="G197" s="6" t="s">
        <v>80</v>
      </c>
      <c r="H197" s="6" t="s">
        <v>88</v>
      </c>
      <c r="I197" s="6" t="s">
        <v>115</v>
      </c>
      <c r="J197" s="6" t="s">
        <v>116</v>
      </c>
      <c r="K197" s="6" t="s">
        <v>84</v>
      </c>
      <c r="L197" s="6">
        <v>3</v>
      </c>
      <c r="M197" s="6">
        <v>778.85</v>
      </c>
      <c r="N197" s="6">
        <v>10</v>
      </c>
    </row>
    <row r="198" spans="1:14" x14ac:dyDescent="0.25">
      <c r="A198" s="6">
        <v>10257</v>
      </c>
      <c r="B198" s="6">
        <v>1233</v>
      </c>
      <c r="C198" s="11">
        <v>45289</v>
      </c>
      <c r="D198" s="11">
        <v>45297</v>
      </c>
      <c r="E198" s="6" t="s">
        <v>103</v>
      </c>
      <c r="F198" s="6" t="s">
        <v>104</v>
      </c>
      <c r="G198" s="6" t="s">
        <v>87</v>
      </c>
      <c r="H198" s="6" t="s">
        <v>107</v>
      </c>
      <c r="I198" s="6" t="s">
        <v>94</v>
      </c>
      <c r="J198" s="6" t="s">
        <v>95</v>
      </c>
      <c r="K198" s="6" t="s">
        <v>110</v>
      </c>
      <c r="L198" s="6">
        <v>3</v>
      </c>
      <c r="M198" s="6">
        <v>240.6</v>
      </c>
      <c r="N198" s="6">
        <v>5</v>
      </c>
    </row>
    <row r="199" spans="1:14" x14ac:dyDescent="0.25">
      <c r="A199" s="6">
        <v>10271</v>
      </c>
      <c r="B199" s="6">
        <v>1441</v>
      </c>
      <c r="C199" s="11">
        <v>45068</v>
      </c>
      <c r="D199" s="11">
        <v>45072</v>
      </c>
      <c r="E199" s="6" t="s">
        <v>103</v>
      </c>
      <c r="F199" s="6" t="s">
        <v>79</v>
      </c>
      <c r="G199" s="6" t="s">
        <v>93</v>
      </c>
      <c r="H199" s="6" t="s">
        <v>88</v>
      </c>
      <c r="I199" s="6" t="s">
        <v>82</v>
      </c>
      <c r="J199" s="6" t="s">
        <v>132</v>
      </c>
      <c r="K199" s="6" t="s">
        <v>110</v>
      </c>
      <c r="L199" s="6">
        <v>3</v>
      </c>
      <c r="M199" s="6">
        <v>2469.5100000000002</v>
      </c>
      <c r="N199" s="6">
        <v>0</v>
      </c>
    </row>
    <row r="200" spans="1:14" x14ac:dyDescent="0.25">
      <c r="A200" s="6">
        <v>10064</v>
      </c>
      <c r="B200" s="6">
        <v>1166</v>
      </c>
      <c r="C200" s="11">
        <v>45207</v>
      </c>
      <c r="D200" s="11">
        <v>45216</v>
      </c>
      <c r="E200" s="6" t="s">
        <v>103</v>
      </c>
      <c r="F200" s="6" t="s">
        <v>79</v>
      </c>
      <c r="G200" s="6" t="s">
        <v>93</v>
      </c>
      <c r="H200" s="6" t="s">
        <v>81</v>
      </c>
      <c r="I200" s="6" t="s">
        <v>89</v>
      </c>
      <c r="J200" s="6" t="s">
        <v>99</v>
      </c>
      <c r="K200" s="6" t="s">
        <v>110</v>
      </c>
      <c r="L200" s="6">
        <v>2</v>
      </c>
      <c r="M200" s="6">
        <v>1041.2</v>
      </c>
      <c r="N200" s="6">
        <v>15</v>
      </c>
    </row>
    <row r="201" spans="1:14" x14ac:dyDescent="0.25">
      <c r="A201" s="6">
        <v>10084</v>
      </c>
      <c r="B201" s="6">
        <v>1034</v>
      </c>
      <c r="C201" s="11">
        <v>45157</v>
      </c>
      <c r="D201" s="11">
        <v>45166</v>
      </c>
      <c r="E201" s="6" t="s">
        <v>103</v>
      </c>
      <c r="F201" s="6" t="s">
        <v>92</v>
      </c>
      <c r="G201" s="6" t="s">
        <v>93</v>
      </c>
      <c r="H201" s="6" t="s">
        <v>107</v>
      </c>
      <c r="I201" s="6" t="s">
        <v>115</v>
      </c>
      <c r="J201" s="6" t="s">
        <v>119</v>
      </c>
      <c r="K201" s="6" t="s">
        <v>96</v>
      </c>
      <c r="L201" s="6">
        <v>2</v>
      </c>
      <c r="M201" s="6">
        <v>2145.36</v>
      </c>
      <c r="N201" s="6">
        <v>20</v>
      </c>
    </row>
    <row r="202" spans="1:14" x14ac:dyDescent="0.25">
      <c r="A202" s="6">
        <v>10096</v>
      </c>
      <c r="B202" s="6">
        <v>1821</v>
      </c>
      <c r="C202" s="11">
        <v>44940</v>
      </c>
      <c r="D202" s="11">
        <v>44947</v>
      </c>
      <c r="E202" s="6" t="s">
        <v>103</v>
      </c>
      <c r="F202" s="6" t="s">
        <v>79</v>
      </c>
      <c r="G202" s="6" t="s">
        <v>80</v>
      </c>
      <c r="H202" s="6" t="s">
        <v>88</v>
      </c>
      <c r="I202" s="6" t="s">
        <v>115</v>
      </c>
      <c r="J202" s="6" t="s">
        <v>123</v>
      </c>
      <c r="K202" s="6" t="s">
        <v>96</v>
      </c>
      <c r="L202" s="6">
        <v>2</v>
      </c>
      <c r="M202" s="6">
        <v>1249.94</v>
      </c>
      <c r="N202" s="6">
        <v>10</v>
      </c>
    </row>
    <row r="203" spans="1:14" x14ac:dyDescent="0.25">
      <c r="A203" s="6">
        <v>10154</v>
      </c>
      <c r="B203" s="6">
        <v>1027</v>
      </c>
      <c r="C203" s="11">
        <v>45118</v>
      </c>
      <c r="D203" s="11">
        <v>45126</v>
      </c>
      <c r="E203" s="6" t="s">
        <v>103</v>
      </c>
      <c r="F203" s="6" t="s">
        <v>86</v>
      </c>
      <c r="G203" s="6" t="s">
        <v>80</v>
      </c>
      <c r="H203" s="6" t="s">
        <v>105</v>
      </c>
      <c r="I203" s="6" t="s">
        <v>82</v>
      </c>
      <c r="J203" s="6" t="s">
        <v>106</v>
      </c>
      <c r="K203" s="6" t="s">
        <v>108</v>
      </c>
      <c r="L203" s="6">
        <v>2</v>
      </c>
      <c r="M203" s="6">
        <v>764.56</v>
      </c>
      <c r="N203" s="6">
        <v>0</v>
      </c>
    </row>
    <row r="204" spans="1:14" x14ac:dyDescent="0.25">
      <c r="A204" s="6">
        <v>10444</v>
      </c>
      <c r="B204" s="6">
        <v>1437</v>
      </c>
      <c r="C204" s="11">
        <v>44960</v>
      </c>
      <c r="D204" s="11">
        <v>44969</v>
      </c>
      <c r="E204" s="6" t="s">
        <v>103</v>
      </c>
      <c r="F204" s="6" t="s">
        <v>101</v>
      </c>
      <c r="G204" s="6" t="s">
        <v>93</v>
      </c>
      <c r="H204" s="6" t="s">
        <v>81</v>
      </c>
      <c r="I204" s="6" t="s">
        <v>94</v>
      </c>
      <c r="J204" s="6" t="s">
        <v>95</v>
      </c>
      <c r="K204" s="6" t="s">
        <v>84</v>
      </c>
      <c r="L204" s="6">
        <v>2</v>
      </c>
      <c r="M204" s="6">
        <v>3904.44</v>
      </c>
      <c r="N204" s="6">
        <v>10</v>
      </c>
    </row>
    <row r="205" spans="1:14" x14ac:dyDescent="0.25">
      <c r="A205" s="6">
        <v>10047</v>
      </c>
      <c r="B205" s="6">
        <v>1782</v>
      </c>
      <c r="C205" s="11">
        <v>44976</v>
      </c>
      <c r="D205" s="11">
        <v>44985</v>
      </c>
      <c r="E205" s="6" t="s">
        <v>103</v>
      </c>
      <c r="F205" s="6" t="s">
        <v>104</v>
      </c>
      <c r="G205" s="6" t="s">
        <v>80</v>
      </c>
      <c r="H205" s="6" t="s">
        <v>81</v>
      </c>
      <c r="I205" s="6" t="s">
        <v>120</v>
      </c>
      <c r="J205" s="6" t="s">
        <v>125</v>
      </c>
      <c r="K205" s="6" t="s">
        <v>110</v>
      </c>
      <c r="L205" s="6">
        <v>1</v>
      </c>
      <c r="M205" s="6">
        <v>1769.93</v>
      </c>
      <c r="N205" s="6">
        <v>20</v>
      </c>
    </row>
    <row r="206" spans="1:14" x14ac:dyDescent="0.25">
      <c r="A206" s="6">
        <v>10073</v>
      </c>
      <c r="B206" s="6">
        <v>1564</v>
      </c>
      <c r="C206" s="11">
        <v>45055</v>
      </c>
      <c r="D206" s="11">
        <v>45063</v>
      </c>
      <c r="E206" s="6" t="s">
        <v>103</v>
      </c>
      <c r="F206" s="6" t="s">
        <v>79</v>
      </c>
      <c r="G206" s="6" t="s">
        <v>80</v>
      </c>
      <c r="H206" s="6" t="s">
        <v>88</v>
      </c>
      <c r="I206" s="6" t="s">
        <v>112</v>
      </c>
      <c r="J206" s="6" t="s">
        <v>130</v>
      </c>
      <c r="K206" s="6" t="s">
        <v>84</v>
      </c>
      <c r="L206" s="6">
        <v>1</v>
      </c>
      <c r="M206" s="6">
        <v>3037.61</v>
      </c>
      <c r="N206" s="6">
        <v>5</v>
      </c>
    </row>
    <row r="207" spans="1:14" x14ac:dyDescent="0.25">
      <c r="A207" s="6">
        <v>10133</v>
      </c>
      <c r="B207" s="6">
        <v>1064</v>
      </c>
      <c r="C207" s="11">
        <v>45262</v>
      </c>
      <c r="D207" s="11">
        <v>45267</v>
      </c>
      <c r="E207" s="6" t="s">
        <v>103</v>
      </c>
      <c r="F207" s="6" t="s">
        <v>79</v>
      </c>
      <c r="G207" s="6" t="s">
        <v>80</v>
      </c>
      <c r="H207" s="6" t="s">
        <v>81</v>
      </c>
      <c r="I207" s="6" t="s">
        <v>94</v>
      </c>
      <c r="J207" s="6" t="s">
        <v>111</v>
      </c>
      <c r="K207" s="6" t="s">
        <v>91</v>
      </c>
      <c r="L207" s="6">
        <v>1</v>
      </c>
      <c r="M207" s="6">
        <v>3990.85</v>
      </c>
      <c r="N207" s="6">
        <v>0</v>
      </c>
    </row>
    <row r="208" spans="1:14" x14ac:dyDescent="0.25">
      <c r="A208" s="6">
        <v>10267</v>
      </c>
      <c r="B208" s="6">
        <v>1691</v>
      </c>
      <c r="C208" s="11">
        <v>45074</v>
      </c>
      <c r="D208" s="11">
        <v>45079</v>
      </c>
      <c r="E208" s="6" t="s">
        <v>103</v>
      </c>
      <c r="F208" s="6" t="s">
        <v>101</v>
      </c>
      <c r="G208" s="6" t="s">
        <v>93</v>
      </c>
      <c r="H208" s="6" t="s">
        <v>107</v>
      </c>
      <c r="I208" s="6" t="s">
        <v>115</v>
      </c>
      <c r="J208" s="6" t="s">
        <v>116</v>
      </c>
      <c r="K208" s="6" t="s">
        <v>110</v>
      </c>
      <c r="L208" s="6">
        <v>1</v>
      </c>
      <c r="M208" s="6">
        <v>900.78</v>
      </c>
      <c r="N208" s="6">
        <v>5</v>
      </c>
    </row>
    <row r="209" spans="1:14" x14ac:dyDescent="0.25">
      <c r="A209" s="6">
        <v>10313</v>
      </c>
      <c r="B209" s="6">
        <v>1836</v>
      </c>
      <c r="C209" s="11">
        <v>44992</v>
      </c>
      <c r="D209" s="11">
        <v>44997</v>
      </c>
      <c r="E209" s="6" t="s">
        <v>103</v>
      </c>
      <c r="F209" s="6" t="s">
        <v>104</v>
      </c>
      <c r="G209" s="6" t="s">
        <v>80</v>
      </c>
      <c r="H209" s="6" t="s">
        <v>98</v>
      </c>
      <c r="I209" s="6" t="s">
        <v>120</v>
      </c>
      <c r="J209" s="6" t="s">
        <v>125</v>
      </c>
      <c r="K209" s="6" t="s">
        <v>108</v>
      </c>
      <c r="L209" s="6">
        <v>1</v>
      </c>
      <c r="M209" s="6">
        <v>3251.27</v>
      </c>
      <c r="N209" s="6">
        <v>15</v>
      </c>
    </row>
    <row r="210" spans="1:14" x14ac:dyDescent="0.25">
      <c r="A210" s="6">
        <v>10329</v>
      </c>
      <c r="B210" s="6">
        <v>1770</v>
      </c>
      <c r="C210" s="11">
        <v>44975</v>
      </c>
      <c r="D210" s="11">
        <v>44976</v>
      </c>
      <c r="E210" s="6" t="s">
        <v>103</v>
      </c>
      <c r="F210" s="6" t="s">
        <v>101</v>
      </c>
      <c r="G210" s="6" t="s">
        <v>80</v>
      </c>
      <c r="H210" s="6" t="s">
        <v>107</v>
      </c>
      <c r="I210" s="6" t="s">
        <v>89</v>
      </c>
      <c r="J210" s="6" t="s">
        <v>90</v>
      </c>
      <c r="K210" s="6" t="s">
        <v>110</v>
      </c>
      <c r="L210" s="6">
        <v>1</v>
      </c>
      <c r="M210" s="6">
        <v>3171.36</v>
      </c>
      <c r="N210" s="6">
        <v>20</v>
      </c>
    </row>
    <row r="211" spans="1:14" x14ac:dyDescent="0.25">
      <c r="A211" s="6">
        <v>10390</v>
      </c>
      <c r="B211" s="6">
        <v>1586</v>
      </c>
      <c r="C211" s="11">
        <v>45102</v>
      </c>
      <c r="D211" s="11">
        <v>45103</v>
      </c>
      <c r="E211" s="6" t="s">
        <v>103</v>
      </c>
      <c r="F211" s="6" t="s">
        <v>117</v>
      </c>
      <c r="G211" s="6" t="s">
        <v>87</v>
      </c>
      <c r="H211" s="6" t="s">
        <v>98</v>
      </c>
      <c r="I211" s="6" t="s">
        <v>94</v>
      </c>
      <c r="J211" s="6" t="s">
        <v>111</v>
      </c>
      <c r="K211" s="6" t="s">
        <v>110</v>
      </c>
      <c r="L211" s="6">
        <v>1</v>
      </c>
      <c r="M211" s="6">
        <v>2430.36</v>
      </c>
      <c r="N211" s="6">
        <v>15</v>
      </c>
    </row>
    <row r="212" spans="1:14" x14ac:dyDescent="0.25">
      <c r="A212" s="6">
        <v>10057</v>
      </c>
      <c r="B212" s="6">
        <v>1504</v>
      </c>
      <c r="C212" s="11">
        <v>45117</v>
      </c>
      <c r="D212" s="11">
        <v>45122</v>
      </c>
      <c r="E212" s="6" t="s">
        <v>100</v>
      </c>
      <c r="F212" s="6" t="s">
        <v>92</v>
      </c>
      <c r="G212" s="6" t="s">
        <v>80</v>
      </c>
      <c r="H212" s="6" t="s">
        <v>88</v>
      </c>
      <c r="I212" s="6" t="s">
        <v>120</v>
      </c>
      <c r="J212" s="6" t="s">
        <v>121</v>
      </c>
      <c r="K212" s="6" t="s">
        <v>96</v>
      </c>
      <c r="L212" s="6">
        <v>9</v>
      </c>
      <c r="M212" s="6">
        <v>1012.33</v>
      </c>
      <c r="N212" s="6">
        <v>20</v>
      </c>
    </row>
    <row r="213" spans="1:14" x14ac:dyDescent="0.25">
      <c r="A213" s="6">
        <v>10097</v>
      </c>
      <c r="B213" s="6">
        <v>1476</v>
      </c>
      <c r="C213" s="11">
        <v>45047</v>
      </c>
      <c r="D213" s="11">
        <v>45056</v>
      </c>
      <c r="E213" s="6" t="s">
        <v>100</v>
      </c>
      <c r="F213" s="6" t="s">
        <v>86</v>
      </c>
      <c r="G213" s="6" t="s">
        <v>87</v>
      </c>
      <c r="H213" s="6" t="s">
        <v>81</v>
      </c>
      <c r="I213" s="6" t="s">
        <v>115</v>
      </c>
      <c r="J213" s="6" t="s">
        <v>123</v>
      </c>
      <c r="K213" s="6" t="s">
        <v>91</v>
      </c>
      <c r="L213" s="6">
        <v>9</v>
      </c>
      <c r="M213" s="6">
        <v>501.79</v>
      </c>
      <c r="N213" s="6">
        <v>5</v>
      </c>
    </row>
    <row r="214" spans="1:14" x14ac:dyDescent="0.25">
      <c r="A214" s="6">
        <v>10179</v>
      </c>
      <c r="B214" s="6">
        <v>1768</v>
      </c>
      <c r="C214" s="11">
        <v>44973</v>
      </c>
      <c r="D214" s="11">
        <v>44976</v>
      </c>
      <c r="E214" s="6" t="s">
        <v>100</v>
      </c>
      <c r="F214" s="6" t="s">
        <v>79</v>
      </c>
      <c r="G214" s="6" t="s">
        <v>93</v>
      </c>
      <c r="H214" s="6" t="s">
        <v>88</v>
      </c>
      <c r="I214" s="6" t="s">
        <v>94</v>
      </c>
      <c r="J214" s="6" t="s">
        <v>95</v>
      </c>
      <c r="K214" s="6" t="s">
        <v>84</v>
      </c>
      <c r="L214" s="6">
        <v>9</v>
      </c>
      <c r="M214" s="6">
        <v>388.26</v>
      </c>
      <c r="N214" s="6">
        <v>10</v>
      </c>
    </row>
    <row r="215" spans="1:14" x14ac:dyDescent="0.25">
      <c r="A215" s="6">
        <v>10355</v>
      </c>
      <c r="B215" s="6">
        <v>1945</v>
      </c>
      <c r="C215" s="11">
        <v>45188</v>
      </c>
      <c r="D215" s="11">
        <v>45191</v>
      </c>
      <c r="E215" s="6" t="s">
        <v>100</v>
      </c>
      <c r="F215" s="6" t="s">
        <v>86</v>
      </c>
      <c r="G215" s="6" t="s">
        <v>93</v>
      </c>
      <c r="H215" s="6" t="s">
        <v>98</v>
      </c>
      <c r="I215" s="6" t="s">
        <v>115</v>
      </c>
      <c r="J215" s="6" t="s">
        <v>116</v>
      </c>
      <c r="K215" s="6" t="s">
        <v>84</v>
      </c>
      <c r="L215" s="6">
        <v>9</v>
      </c>
      <c r="M215" s="6">
        <v>2632.88</v>
      </c>
      <c r="N215" s="6">
        <v>5</v>
      </c>
    </row>
    <row r="216" spans="1:14" x14ac:dyDescent="0.25">
      <c r="A216" s="6">
        <v>10014</v>
      </c>
      <c r="B216" s="6">
        <v>1458</v>
      </c>
      <c r="C216" s="11">
        <v>45039</v>
      </c>
      <c r="D216" s="11">
        <v>45045</v>
      </c>
      <c r="E216" s="6" t="s">
        <v>100</v>
      </c>
      <c r="F216" s="6" t="s">
        <v>101</v>
      </c>
      <c r="G216" s="6" t="s">
        <v>93</v>
      </c>
      <c r="H216" s="6" t="s">
        <v>98</v>
      </c>
      <c r="I216" s="6" t="s">
        <v>89</v>
      </c>
      <c r="J216" s="6" t="s">
        <v>99</v>
      </c>
      <c r="K216" s="6" t="s">
        <v>91</v>
      </c>
      <c r="L216" s="6">
        <v>8</v>
      </c>
      <c r="M216" s="6">
        <v>1074.27</v>
      </c>
      <c r="N216" s="6">
        <v>15</v>
      </c>
    </row>
    <row r="217" spans="1:14" x14ac:dyDescent="0.25">
      <c r="A217" s="6">
        <v>10041</v>
      </c>
      <c r="B217" s="6">
        <v>1058</v>
      </c>
      <c r="C217" s="11">
        <v>45211</v>
      </c>
      <c r="D217" s="11">
        <v>45220</v>
      </c>
      <c r="E217" s="6" t="s">
        <v>100</v>
      </c>
      <c r="F217" s="6" t="s">
        <v>79</v>
      </c>
      <c r="G217" s="6" t="s">
        <v>80</v>
      </c>
      <c r="H217" s="6" t="s">
        <v>88</v>
      </c>
      <c r="I217" s="6" t="s">
        <v>115</v>
      </c>
      <c r="J217" s="6" t="s">
        <v>127</v>
      </c>
      <c r="K217" s="6" t="s">
        <v>84</v>
      </c>
      <c r="L217" s="6">
        <v>8</v>
      </c>
      <c r="M217" s="6">
        <v>3158.8</v>
      </c>
      <c r="N217" s="6">
        <v>0</v>
      </c>
    </row>
    <row r="218" spans="1:14" x14ac:dyDescent="0.25">
      <c r="A218" s="6">
        <v>10046</v>
      </c>
      <c r="B218" s="6">
        <v>1975</v>
      </c>
      <c r="C218" s="11">
        <v>45209</v>
      </c>
      <c r="D218" s="11">
        <v>45211</v>
      </c>
      <c r="E218" s="6" t="s">
        <v>100</v>
      </c>
      <c r="F218" s="6" t="s">
        <v>117</v>
      </c>
      <c r="G218" s="6" t="s">
        <v>87</v>
      </c>
      <c r="H218" s="6" t="s">
        <v>81</v>
      </c>
      <c r="I218" s="6" t="s">
        <v>112</v>
      </c>
      <c r="J218" s="6" t="s">
        <v>114</v>
      </c>
      <c r="K218" s="6" t="s">
        <v>108</v>
      </c>
      <c r="L218" s="6">
        <v>8</v>
      </c>
      <c r="M218" s="6">
        <v>444.79</v>
      </c>
      <c r="N218" s="6">
        <v>10</v>
      </c>
    </row>
    <row r="219" spans="1:14" x14ac:dyDescent="0.25">
      <c r="A219" s="6">
        <v>10083</v>
      </c>
      <c r="B219" s="6">
        <v>1942</v>
      </c>
      <c r="C219" s="11">
        <v>45228</v>
      </c>
      <c r="D219" s="11">
        <v>45232</v>
      </c>
      <c r="E219" s="6" t="s">
        <v>100</v>
      </c>
      <c r="F219" s="6" t="s">
        <v>86</v>
      </c>
      <c r="G219" s="6" t="s">
        <v>80</v>
      </c>
      <c r="H219" s="6" t="s">
        <v>88</v>
      </c>
      <c r="I219" s="6" t="s">
        <v>120</v>
      </c>
      <c r="J219" s="6" t="s">
        <v>125</v>
      </c>
      <c r="K219" s="6" t="s">
        <v>84</v>
      </c>
      <c r="L219" s="6">
        <v>8</v>
      </c>
      <c r="M219" s="6">
        <v>997.34</v>
      </c>
      <c r="N219" s="6">
        <v>5</v>
      </c>
    </row>
    <row r="220" spans="1:14" x14ac:dyDescent="0.25">
      <c r="A220" s="6">
        <v>10162</v>
      </c>
      <c r="B220" s="6">
        <v>1502</v>
      </c>
      <c r="C220" s="11">
        <v>45072</v>
      </c>
      <c r="D220" s="11">
        <v>45074</v>
      </c>
      <c r="E220" s="6" t="s">
        <v>100</v>
      </c>
      <c r="F220" s="6" t="s">
        <v>92</v>
      </c>
      <c r="G220" s="6" t="s">
        <v>87</v>
      </c>
      <c r="H220" s="6" t="s">
        <v>107</v>
      </c>
      <c r="I220" s="6" t="s">
        <v>120</v>
      </c>
      <c r="J220" s="6" t="s">
        <v>121</v>
      </c>
      <c r="K220" s="6" t="s">
        <v>96</v>
      </c>
      <c r="L220" s="6">
        <v>8</v>
      </c>
      <c r="M220" s="6">
        <v>1227.5899999999999</v>
      </c>
      <c r="N220" s="6">
        <v>5</v>
      </c>
    </row>
    <row r="221" spans="1:14" x14ac:dyDescent="0.25">
      <c r="A221" s="6">
        <v>10168</v>
      </c>
      <c r="B221" s="6">
        <v>1683</v>
      </c>
      <c r="C221" s="11">
        <v>45229</v>
      </c>
      <c r="D221" s="11">
        <v>45232</v>
      </c>
      <c r="E221" s="6" t="s">
        <v>100</v>
      </c>
      <c r="F221" s="6" t="s">
        <v>79</v>
      </c>
      <c r="G221" s="6" t="s">
        <v>93</v>
      </c>
      <c r="H221" s="6" t="s">
        <v>107</v>
      </c>
      <c r="I221" s="6" t="s">
        <v>115</v>
      </c>
      <c r="J221" s="6" t="s">
        <v>119</v>
      </c>
      <c r="K221" s="6" t="s">
        <v>108</v>
      </c>
      <c r="L221" s="6">
        <v>8</v>
      </c>
      <c r="M221" s="6">
        <v>187.29</v>
      </c>
      <c r="N221" s="6">
        <v>5</v>
      </c>
    </row>
    <row r="222" spans="1:14" x14ac:dyDescent="0.25">
      <c r="A222" s="6">
        <v>10196</v>
      </c>
      <c r="B222" s="6">
        <v>1863</v>
      </c>
      <c r="C222" s="11">
        <v>45124</v>
      </c>
      <c r="D222" s="11">
        <v>45133</v>
      </c>
      <c r="E222" s="6" t="s">
        <v>100</v>
      </c>
      <c r="F222" s="6" t="s">
        <v>92</v>
      </c>
      <c r="G222" s="6" t="s">
        <v>93</v>
      </c>
      <c r="H222" s="6" t="s">
        <v>107</v>
      </c>
      <c r="I222" s="6" t="s">
        <v>115</v>
      </c>
      <c r="J222" s="6" t="s">
        <v>116</v>
      </c>
      <c r="K222" s="6" t="s">
        <v>84</v>
      </c>
      <c r="L222" s="6">
        <v>8</v>
      </c>
      <c r="M222" s="6">
        <v>2561.86</v>
      </c>
      <c r="N222" s="6">
        <v>0</v>
      </c>
    </row>
    <row r="223" spans="1:14" x14ac:dyDescent="0.25">
      <c r="A223" s="6">
        <v>10220</v>
      </c>
      <c r="B223" s="6">
        <v>1556</v>
      </c>
      <c r="C223" s="11">
        <v>45026</v>
      </c>
      <c r="D223" s="11">
        <v>45035</v>
      </c>
      <c r="E223" s="6" t="s">
        <v>100</v>
      </c>
      <c r="F223" s="6" t="s">
        <v>79</v>
      </c>
      <c r="G223" s="6" t="s">
        <v>87</v>
      </c>
      <c r="H223" s="6" t="s">
        <v>81</v>
      </c>
      <c r="I223" s="6" t="s">
        <v>82</v>
      </c>
      <c r="J223" s="6" t="s">
        <v>118</v>
      </c>
      <c r="K223" s="6" t="s">
        <v>84</v>
      </c>
      <c r="L223" s="6">
        <v>8</v>
      </c>
      <c r="M223" s="6">
        <v>3240.98</v>
      </c>
      <c r="N223" s="6">
        <v>0</v>
      </c>
    </row>
    <row r="224" spans="1:14" x14ac:dyDescent="0.25">
      <c r="A224" s="6">
        <v>10290</v>
      </c>
      <c r="B224" s="6">
        <v>1996</v>
      </c>
      <c r="C224" s="11">
        <v>45215</v>
      </c>
      <c r="D224" s="11">
        <v>45218</v>
      </c>
      <c r="E224" s="6" t="s">
        <v>100</v>
      </c>
      <c r="F224" s="6" t="s">
        <v>104</v>
      </c>
      <c r="G224" s="6" t="s">
        <v>93</v>
      </c>
      <c r="H224" s="6" t="s">
        <v>81</v>
      </c>
      <c r="I224" s="6" t="s">
        <v>82</v>
      </c>
      <c r="J224" s="6" t="s">
        <v>83</v>
      </c>
      <c r="K224" s="6" t="s">
        <v>91</v>
      </c>
      <c r="L224" s="6">
        <v>8</v>
      </c>
      <c r="M224" s="6">
        <v>2695.39</v>
      </c>
      <c r="N224" s="6">
        <v>10</v>
      </c>
    </row>
    <row r="225" spans="1:14" x14ac:dyDescent="0.25">
      <c r="A225" s="6">
        <v>10315</v>
      </c>
      <c r="B225" s="6">
        <v>1609</v>
      </c>
      <c r="C225" s="11">
        <v>45024</v>
      </c>
      <c r="D225" s="11">
        <v>45029</v>
      </c>
      <c r="E225" s="6" t="s">
        <v>100</v>
      </c>
      <c r="F225" s="6" t="s">
        <v>92</v>
      </c>
      <c r="G225" s="6" t="s">
        <v>87</v>
      </c>
      <c r="H225" s="6" t="s">
        <v>81</v>
      </c>
      <c r="I225" s="6" t="s">
        <v>112</v>
      </c>
      <c r="J225" s="6" t="s">
        <v>113</v>
      </c>
      <c r="K225" s="6" t="s">
        <v>108</v>
      </c>
      <c r="L225" s="6">
        <v>8</v>
      </c>
      <c r="M225" s="6">
        <v>3253.02</v>
      </c>
      <c r="N225" s="6">
        <v>15</v>
      </c>
    </row>
    <row r="226" spans="1:14" x14ac:dyDescent="0.25">
      <c r="A226" s="6">
        <v>10357</v>
      </c>
      <c r="B226" s="6">
        <v>1414</v>
      </c>
      <c r="C226" s="11">
        <v>45205</v>
      </c>
      <c r="D226" s="11">
        <v>45213</v>
      </c>
      <c r="E226" s="6" t="s">
        <v>100</v>
      </c>
      <c r="F226" s="6" t="s">
        <v>101</v>
      </c>
      <c r="G226" s="6" t="s">
        <v>80</v>
      </c>
      <c r="H226" s="6" t="s">
        <v>88</v>
      </c>
      <c r="I226" s="6" t="s">
        <v>120</v>
      </c>
      <c r="J226" s="6" t="s">
        <v>121</v>
      </c>
      <c r="K226" s="6" t="s">
        <v>91</v>
      </c>
      <c r="L226" s="6">
        <v>8</v>
      </c>
      <c r="M226" s="6">
        <v>1300.31</v>
      </c>
      <c r="N226" s="6">
        <v>0</v>
      </c>
    </row>
    <row r="227" spans="1:14" x14ac:dyDescent="0.25">
      <c r="A227" s="6">
        <v>10413</v>
      </c>
      <c r="B227" s="6">
        <v>1956</v>
      </c>
      <c r="C227" s="11">
        <v>45054</v>
      </c>
      <c r="D227" s="11">
        <v>45056</v>
      </c>
      <c r="E227" s="6" t="s">
        <v>100</v>
      </c>
      <c r="F227" s="6" t="s">
        <v>117</v>
      </c>
      <c r="G227" s="6" t="s">
        <v>87</v>
      </c>
      <c r="H227" s="6" t="s">
        <v>81</v>
      </c>
      <c r="I227" s="6" t="s">
        <v>115</v>
      </c>
      <c r="J227" s="6" t="s">
        <v>116</v>
      </c>
      <c r="K227" s="6" t="s">
        <v>91</v>
      </c>
      <c r="L227" s="6">
        <v>8</v>
      </c>
      <c r="M227" s="6">
        <v>1297.5899999999999</v>
      </c>
      <c r="N227" s="6">
        <v>0</v>
      </c>
    </row>
    <row r="228" spans="1:14" x14ac:dyDescent="0.25">
      <c r="A228" s="6">
        <v>10005</v>
      </c>
      <c r="B228" s="6">
        <v>1106</v>
      </c>
      <c r="C228" s="11">
        <v>45241</v>
      </c>
      <c r="D228" s="11">
        <v>45244</v>
      </c>
      <c r="E228" s="6" t="s">
        <v>100</v>
      </c>
      <c r="F228" s="6" t="s">
        <v>101</v>
      </c>
      <c r="G228" s="6" t="s">
        <v>93</v>
      </c>
      <c r="H228" s="6" t="s">
        <v>81</v>
      </c>
      <c r="I228" s="6" t="s">
        <v>94</v>
      </c>
      <c r="J228" s="6" t="s">
        <v>102</v>
      </c>
      <c r="K228" s="6" t="s">
        <v>84</v>
      </c>
      <c r="L228" s="6">
        <v>7</v>
      </c>
      <c r="M228" s="6">
        <v>3511.47</v>
      </c>
      <c r="N228" s="6">
        <v>20</v>
      </c>
    </row>
    <row r="229" spans="1:14" x14ac:dyDescent="0.25">
      <c r="A229" s="6">
        <v>10022</v>
      </c>
      <c r="B229" s="6">
        <v>1308</v>
      </c>
      <c r="C229" s="11">
        <v>44944</v>
      </c>
      <c r="D229" s="11">
        <v>44951</v>
      </c>
      <c r="E229" s="6" t="s">
        <v>100</v>
      </c>
      <c r="F229" s="6" t="s">
        <v>86</v>
      </c>
      <c r="G229" s="6" t="s">
        <v>93</v>
      </c>
      <c r="H229" s="6" t="s">
        <v>98</v>
      </c>
      <c r="I229" s="6" t="s">
        <v>120</v>
      </c>
      <c r="J229" s="6" t="s">
        <v>121</v>
      </c>
      <c r="K229" s="6" t="s">
        <v>96</v>
      </c>
      <c r="L229" s="6">
        <v>7</v>
      </c>
      <c r="M229" s="6">
        <v>680.86</v>
      </c>
      <c r="N229" s="6">
        <v>20</v>
      </c>
    </row>
    <row r="230" spans="1:14" x14ac:dyDescent="0.25">
      <c r="A230" s="6">
        <v>10061</v>
      </c>
      <c r="B230" s="6">
        <v>1646</v>
      </c>
      <c r="C230" s="11">
        <v>44956</v>
      </c>
      <c r="D230" s="11">
        <v>44957</v>
      </c>
      <c r="E230" s="6" t="s">
        <v>100</v>
      </c>
      <c r="F230" s="6" t="s">
        <v>117</v>
      </c>
      <c r="G230" s="6" t="s">
        <v>87</v>
      </c>
      <c r="H230" s="6" t="s">
        <v>105</v>
      </c>
      <c r="I230" s="6" t="s">
        <v>89</v>
      </c>
      <c r="J230" s="6" t="s">
        <v>99</v>
      </c>
      <c r="K230" s="6" t="s">
        <v>108</v>
      </c>
      <c r="L230" s="6">
        <v>7</v>
      </c>
      <c r="M230" s="6">
        <v>319.56</v>
      </c>
      <c r="N230" s="6">
        <v>10</v>
      </c>
    </row>
    <row r="231" spans="1:14" x14ac:dyDescent="0.25">
      <c r="A231" s="6">
        <v>10143</v>
      </c>
      <c r="B231" s="6">
        <v>1498</v>
      </c>
      <c r="C231" s="11">
        <v>44986</v>
      </c>
      <c r="D231" s="11">
        <v>44993</v>
      </c>
      <c r="E231" s="6" t="s">
        <v>100</v>
      </c>
      <c r="F231" s="6" t="s">
        <v>117</v>
      </c>
      <c r="G231" s="6" t="s">
        <v>93</v>
      </c>
      <c r="H231" s="6" t="s">
        <v>88</v>
      </c>
      <c r="I231" s="6" t="s">
        <v>120</v>
      </c>
      <c r="J231" s="6" t="s">
        <v>121</v>
      </c>
      <c r="K231" s="6" t="s">
        <v>84</v>
      </c>
      <c r="L231" s="6">
        <v>7</v>
      </c>
      <c r="M231" s="6">
        <v>3680.23</v>
      </c>
      <c r="N231" s="6">
        <v>5</v>
      </c>
    </row>
    <row r="232" spans="1:14" x14ac:dyDescent="0.25">
      <c r="A232" s="6">
        <v>10170</v>
      </c>
      <c r="B232" s="6">
        <v>1725</v>
      </c>
      <c r="C232" s="11">
        <v>45044</v>
      </c>
      <c r="D232" s="11">
        <v>45048</v>
      </c>
      <c r="E232" s="6" t="s">
        <v>100</v>
      </c>
      <c r="F232" s="6" t="s">
        <v>79</v>
      </c>
      <c r="G232" s="6" t="s">
        <v>87</v>
      </c>
      <c r="H232" s="6" t="s">
        <v>81</v>
      </c>
      <c r="I232" s="6" t="s">
        <v>94</v>
      </c>
      <c r="J232" s="6" t="s">
        <v>128</v>
      </c>
      <c r="K232" s="6" t="s">
        <v>96</v>
      </c>
      <c r="L232" s="6">
        <v>7</v>
      </c>
      <c r="M232" s="6">
        <v>2964.96</v>
      </c>
      <c r="N232" s="6">
        <v>5</v>
      </c>
    </row>
    <row r="233" spans="1:14" x14ac:dyDescent="0.25">
      <c r="A233" s="6">
        <v>10207</v>
      </c>
      <c r="B233" s="6">
        <v>1654</v>
      </c>
      <c r="C233" s="11">
        <v>45000</v>
      </c>
      <c r="D233" s="11">
        <v>45006</v>
      </c>
      <c r="E233" s="6" t="s">
        <v>100</v>
      </c>
      <c r="F233" s="6" t="s">
        <v>104</v>
      </c>
      <c r="G233" s="6" t="s">
        <v>87</v>
      </c>
      <c r="H233" s="6" t="s">
        <v>107</v>
      </c>
      <c r="I233" s="6" t="s">
        <v>112</v>
      </c>
      <c r="J233" s="6" t="s">
        <v>114</v>
      </c>
      <c r="K233" s="6" t="s">
        <v>96</v>
      </c>
      <c r="L233" s="6">
        <v>7</v>
      </c>
      <c r="M233" s="6">
        <v>982.56</v>
      </c>
      <c r="N233" s="6">
        <v>10</v>
      </c>
    </row>
    <row r="234" spans="1:14" x14ac:dyDescent="0.25">
      <c r="A234" s="6">
        <v>10234</v>
      </c>
      <c r="B234" s="6">
        <v>1347</v>
      </c>
      <c r="C234" s="11">
        <v>45290</v>
      </c>
      <c r="D234" s="11">
        <v>45295</v>
      </c>
      <c r="E234" s="6" t="s">
        <v>100</v>
      </c>
      <c r="F234" s="6" t="s">
        <v>79</v>
      </c>
      <c r="G234" s="6" t="s">
        <v>93</v>
      </c>
      <c r="H234" s="6" t="s">
        <v>107</v>
      </c>
      <c r="I234" s="6" t="s">
        <v>94</v>
      </c>
      <c r="J234" s="6" t="s">
        <v>111</v>
      </c>
      <c r="K234" s="6" t="s">
        <v>96</v>
      </c>
      <c r="L234" s="6">
        <v>7</v>
      </c>
      <c r="M234" s="6">
        <v>324.38</v>
      </c>
      <c r="N234" s="6">
        <v>10</v>
      </c>
    </row>
    <row r="235" spans="1:14" x14ac:dyDescent="0.25">
      <c r="A235" s="6">
        <v>10289</v>
      </c>
      <c r="B235" s="6">
        <v>1854</v>
      </c>
      <c r="C235" s="11">
        <v>45012</v>
      </c>
      <c r="D235" s="11">
        <v>45014</v>
      </c>
      <c r="E235" s="6" t="s">
        <v>100</v>
      </c>
      <c r="F235" s="6" t="s">
        <v>117</v>
      </c>
      <c r="G235" s="6" t="s">
        <v>80</v>
      </c>
      <c r="H235" s="6" t="s">
        <v>88</v>
      </c>
      <c r="I235" s="6" t="s">
        <v>120</v>
      </c>
      <c r="J235" s="6" t="s">
        <v>121</v>
      </c>
      <c r="K235" s="6" t="s">
        <v>84</v>
      </c>
      <c r="L235" s="6">
        <v>7</v>
      </c>
      <c r="M235" s="6">
        <v>1396.71</v>
      </c>
      <c r="N235" s="6">
        <v>20</v>
      </c>
    </row>
    <row r="236" spans="1:14" x14ac:dyDescent="0.25">
      <c r="A236" s="6">
        <v>10321</v>
      </c>
      <c r="B236" s="6">
        <v>1143</v>
      </c>
      <c r="C236" s="11">
        <v>45270</v>
      </c>
      <c r="D236" s="11">
        <v>45275</v>
      </c>
      <c r="E236" s="6" t="s">
        <v>100</v>
      </c>
      <c r="F236" s="6" t="s">
        <v>79</v>
      </c>
      <c r="G236" s="6" t="s">
        <v>93</v>
      </c>
      <c r="H236" s="6" t="s">
        <v>105</v>
      </c>
      <c r="I236" s="6" t="s">
        <v>115</v>
      </c>
      <c r="J236" s="6" t="s">
        <v>123</v>
      </c>
      <c r="K236" s="6" t="s">
        <v>108</v>
      </c>
      <c r="L236" s="6">
        <v>7</v>
      </c>
      <c r="M236" s="6">
        <v>3383.31</v>
      </c>
      <c r="N236" s="6">
        <v>20</v>
      </c>
    </row>
    <row r="237" spans="1:14" x14ac:dyDescent="0.25">
      <c r="A237" s="6">
        <v>10325</v>
      </c>
      <c r="B237" s="6">
        <v>1186</v>
      </c>
      <c r="C237" s="11">
        <v>45025</v>
      </c>
      <c r="D237" s="11">
        <v>45030</v>
      </c>
      <c r="E237" s="6" t="s">
        <v>100</v>
      </c>
      <c r="F237" s="6" t="s">
        <v>101</v>
      </c>
      <c r="G237" s="6" t="s">
        <v>93</v>
      </c>
      <c r="H237" s="6" t="s">
        <v>98</v>
      </c>
      <c r="I237" s="6" t="s">
        <v>115</v>
      </c>
      <c r="J237" s="6" t="s">
        <v>127</v>
      </c>
      <c r="K237" s="6" t="s">
        <v>108</v>
      </c>
      <c r="L237" s="6">
        <v>7</v>
      </c>
      <c r="M237" s="6">
        <v>730.15</v>
      </c>
      <c r="N237" s="6">
        <v>0</v>
      </c>
    </row>
    <row r="238" spans="1:14" x14ac:dyDescent="0.25">
      <c r="A238" s="6">
        <v>10330</v>
      </c>
      <c r="B238" s="6">
        <v>1659</v>
      </c>
      <c r="C238" s="11">
        <v>44958</v>
      </c>
      <c r="D238" s="11">
        <v>44966</v>
      </c>
      <c r="E238" s="6" t="s">
        <v>100</v>
      </c>
      <c r="F238" s="6" t="s">
        <v>117</v>
      </c>
      <c r="G238" s="6" t="s">
        <v>80</v>
      </c>
      <c r="H238" s="6" t="s">
        <v>107</v>
      </c>
      <c r="I238" s="6" t="s">
        <v>115</v>
      </c>
      <c r="J238" s="6" t="s">
        <v>127</v>
      </c>
      <c r="K238" s="6" t="s">
        <v>84</v>
      </c>
      <c r="L238" s="6">
        <v>7</v>
      </c>
      <c r="M238" s="6">
        <v>3978.5</v>
      </c>
      <c r="N238" s="6">
        <v>20</v>
      </c>
    </row>
    <row r="239" spans="1:14" x14ac:dyDescent="0.25">
      <c r="A239" s="6">
        <v>10409</v>
      </c>
      <c r="B239" s="6">
        <v>1705</v>
      </c>
      <c r="C239" s="11">
        <v>45028</v>
      </c>
      <c r="D239" s="11">
        <v>45034</v>
      </c>
      <c r="E239" s="6" t="s">
        <v>100</v>
      </c>
      <c r="F239" s="6" t="s">
        <v>79</v>
      </c>
      <c r="G239" s="6" t="s">
        <v>87</v>
      </c>
      <c r="H239" s="6" t="s">
        <v>81</v>
      </c>
      <c r="I239" s="6" t="s">
        <v>94</v>
      </c>
      <c r="J239" s="6" t="s">
        <v>102</v>
      </c>
      <c r="K239" s="6" t="s">
        <v>96</v>
      </c>
      <c r="L239" s="6">
        <v>7</v>
      </c>
      <c r="M239" s="6">
        <v>1020.23</v>
      </c>
      <c r="N239" s="6">
        <v>10</v>
      </c>
    </row>
    <row r="240" spans="1:14" x14ac:dyDescent="0.25">
      <c r="A240" s="6">
        <v>10025</v>
      </c>
      <c r="B240" s="6">
        <v>1491</v>
      </c>
      <c r="C240" s="11">
        <v>45052</v>
      </c>
      <c r="D240" s="11">
        <v>45061</v>
      </c>
      <c r="E240" s="6" t="s">
        <v>100</v>
      </c>
      <c r="F240" s="6" t="s">
        <v>101</v>
      </c>
      <c r="G240" s="6" t="s">
        <v>93</v>
      </c>
      <c r="H240" s="6" t="s">
        <v>107</v>
      </c>
      <c r="I240" s="6" t="s">
        <v>120</v>
      </c>
      <c r="J240" s="6" t="s">
        <v>122</v>
      </c>
      <c r="K240" s="6" t="s">
        <v>108</v>
      </c>
      <c r="L240" s="6">
        <v>6</v>
      </c>
      <c r="M240" s="6">
        <v>3018.94</v>
      </c>
      <c r="N240" s="6">
        <v>5</v>
      </c>
    </row>
    <row r="241" spans="1:14" x14ac:dyDescent="0.25">
      <c r="A241" s="6">
        <v>10056</v>
      </c>
      <c r="B241" s="6">
        <v>1831</v>
      </c>
      <c r="C241" s="11">
        <v>44929</v>
      </c>
      <c r="D241" s="11">
        <v>44934</v>
      </c>
      <c r="E241" s="6" t="s">
        <v>100</v>
      </c>
      <c r="F241" s="6" t="s">
        <v>92</v>
      </c>
      <c r="G241" s="6" t="s">
        <v>80</v>
      </c>
      <c r="H241" s="6" t="s">
        <v>105</v>
      </c>
      <c r="I241" s="6" t="s">
        <v>120</v>
      </c>
      <c r="J241" s="6" t="s">
        <v>125</v>
      </c>
      <c r="K241" s="6" t="s">
        <v>108</v>
      </c>
      <c r="L241" s="6">
        <v>6</v>
      </c>
      <c r="M241" s="6">
        <v>3402.72</v>
      </c>
      <c r="N241" s="6">
        <v>15</v>
      </c>
    </row>
    <row r="242" spans="1:14" x14ac:dyDescent="0.25">
      <c r="A242" s="6">
        <v>10127</v>
      </c>
      <c r="B242" s="6">
        <v>1379</v>
      </c>
      <c r="C242" s="11">
        <v>44930</v>
      </c>
      <c r="D242" s="11">
        <v>44935</v>
      </c>
      <c r="E242" s="6" t="s">
        <v>100</v>
      </c>
      <c r="F242" s="6" t="s">
        <v>117</v>
      </c>
      <c r="G242" s="6" t="s">
        <v>87</v>
      </c>
      <c r="H242" s="6" t="s">
        <v>81</v>
      </c>
      <c r="I242" s="6" t="s">
        <v>94</v>
      </c>
      <c r="J242" s="6" t="s">
        <v>102</v>
      </c>
      <c r="K242" s="6" t="s">
        <v>84</v>
      </c>
      <c r="L242" s="6">
        <v>6</v>
      </c>
      <c r="M242" s="6">
        <v>1846.21</v>
      </c>
      <c r="N242" s="6">
        <v>10</v>
      </c>
    </row>
    <row r="243" spans="1:14" x14ac:dyDescent="0.25">
      <c r="A243" s="6">
        <v>10145</v>
      </c>
      <c r="B243" s="6">
        <v>1391</v>
      </c>
      <c r="C243" s="11">
        <v>45245</v>
      </c>
      <c r="D243" s="11">
        <v>45246</v>
      </c>
      <c r="E243" s="6" t="s">
        <v>100</v>
      </c>
      <c r="F243" s="6" t="s">
        <v>101</v>
      </c>
      <c r="G243" s="6" t="s">
        <v>87</v>
      </c>
      <c r="H243" s="6" t="s">
        <v>98</v>
      </c>
      <c r="I243" s="6" t="s">
        <v>120</v>
      </c>
      <c r="J243" s="6" t="s">
        <v>122</v>
      </c>
      <c r="K243" s="6" t="s">
        <v>110</v>
      </c>
      <c r="L243" s="6">
        <v>6</v>
      </c>
      <c r="M243" s="6">
        <v>652.42999999999995</v>
      </c>
      <c r="N243" s="6">
        <v>10</v>
      </c>
    </row>
    <row r="244" spans="1:14" x14ac:dyDescent="0.25">
      <c r="A244" s="6">
        <v>10216</v>
      </c>
      <c r="B244" s="6">
        <v>1085</v>
      </c>
      <c r="C244" s="11">
        <v>45221</v>
      </c>
      <c r="D244" s="11">
        <v>45227</v>
      </c>
      <c r="E244" s="6" t="s">
        <v>100</v>
      </c>
      <c r="F244" s="6" t="s">
        <v>86</v>
      </c>
      <c r="G244" s="6" t="s">
        <v>87</v>
      </c>
      <c r="H244" s="6" t="s">
        <v>81</v>
      </c>
      <c r="I244" s="6" t="s">
        <v>120</v>
      </c>
      <c r="J244" s="6" t="s">
        <v>129</v>
      </c>
      <c r="K244" s="6" t="s">
        <v>84</v>
      </c>
      <c r="L244" s="6">
        <v>6</v>
      </c>
      <c r="M244" s="6">
        <v>809.49</v>
      </c>
      <c r="N244" s="6">
        <v>5</v>
      </c>
    </row>
    <row r="245" spans="1:14" x14ac:dyDescent="0.25">
      <c r="A245" s="6">
        <v>10303</v>
      </c>
      <c r="B245" s="6">
        <v>1246</v>
      </c>
      <c r="C245" s="11">
        <v>45124</v>
      </c>
      <c r="D245" s="11">
        <v>45125</v>
      </c>
      <c r="E245" s="6" t="s">
        <v>100</v>
      </c>
      <c r="F245" s="6" t="s">
        <v>92</v>
      </c>
      <c r="G245" s="6" t="s">
        <v>80</v>
      </c>
      <c r="H245" s="6" t="s">
        <v>88</v>
      </c>
      <c r="I245" s="6" t="s">
        <v>120</v>
      </c>
      <c r="J245" s="6" t="s">
        <v>129</v>
      </c>
      <c r="K245" s="6" t="s">
        <v>84</v>
      </c>
      <c r="L245" s="6">
        <v>6</v>
      </c>
      <c r="M245" s="6">
        <v>257.2</v>
      </c>
      <c r="N245" s="6">
        <v>0</v>
      </c>
    </row>
    <row r="246" spans="1:14" x14ac:dyDescent="0.25">
      <c r="A246" s="6">
        <v>10376</v>
      </c>
      <c r="B246" s="6">
        <v>1008</v>
      </c>
      <c r="C246" s="11">
        <v>45242</v>
      </c>
      <c r="D246" s="11">
        <v>45251</v>
      </c>
      <c r="E246" s="6" t="s">
        <v>100</v>
      </c>
      <c r="F246" s="6" t="s">
        <v>117</v>
      </c>
      <c r="G246" s="6" t="s">
        <v>93</v>
      </c>
      <c r="H246" s="6" t="s">
        <v>81</v>
      </c>
      <c r="I246" s="6" t="s">
        <v>120</v>
      </c>
      <c r="J246" s="6" t="s">
        <v>122</v>
      </c>
      <c r="K246" s="6" t="s">
        <v>108</v>
      </c>
      <c r="L246" s="6">
        <v>6</v>
      </c>
      <c r="M246" s="6">
        <v>681.36</v>
      </c>
      <c r="N246" s="6">
        <v>15</v>
      </c>
    </row>
    <row r="247" spans="1:14" x14ac:dyDescent="0.25">
      <c r="A247" s="6">
        <v>10043</v>
      </c>
      <c r="B247" s="6">
        <v>1681</v>
      </c>
      <c r="C247" s="11">
        <v>45184</v>
      </c>
      <c r="D247" s="11">
        <v>45188</v>
      </c>
      <c r="E247" s="6" t="s">
        <v>100</v>
      </c>
      <c r="F247" s="6" t="s">
        <v>86</v>
      </c>
      <c r="G247" s="6" t="s">
        <v>87</v>
      </c>
      <c r="H247" s="6" t="s">
        <v>98</v>
      </c>
      <c r="I247" s="6" t="s">
        <v>94</v>
      </c>
      <c r="J247" s="6" t="s">
        <v>111</v>
      </c>
      <c r="K247" s="6" t="s">
        <v>108</v>
      </c>
      <c r="L247" s="6">
        <v>5</v>
      </c>
      <c r="M247" s="6">
        <v>936.35</v>
      </c>
      <c r="N247" s="6">
        <v>15</v>
      </c>
    </row>
    <row r="248" spans="1:14" x14ac:dyDescent="0.25">
      <c r="A248" s="6">
        <v>10091</v>
      </c>
      <c r="B248" s="6">
        <v>1001</v>
      </c>
      <c r="C248" s="11">
        <v>45016</v>
      </c>
      <c r="D248" s="11">
        <v>45019</v>
      </c>
      <c r="E248" s="6" t="s">
        <v>100</v>
      </c>
      <c r="F248" s="6" t="s">
        <v>79</v>
      </c>
      <c r="G248" s="6" t="s">
        <v>80</v>
      </c>
      <c r="H248" s="6" t="s">
        <v>107</v>
      </c>
      <c r="I248" s="6" t="s">
        <v>89</v>
      </c>
      <c r="J248" s="6" t="s">
        <v>90</v>
      </c>
      <c r="K248" s="6" t="s">
        <v>91</v>
      </c>
      <c r="L248" s="6">
        <v>5</v>
      </c>
      <c r="M248" s="6">
        <v>3370.52</v>
      </c>
      <c r="N248" s="6">
        <v>10</v>
      </c>
    </row>
    <row r="249" spans="1:14" x14ac:dyDescent="0.25">
      <c r="A249" s="6">
        <v>10226</v>
      </c>
      <c r="B249" s="6">
        <v>1619</v>
      </c>
      <c r="C249" s="11">
        <v>45290</v>
      </c>
      <c r="D249" s="11">
        <v>45291</v>
      </c>
      <c r="E249" s="6" t="s">
        <v>100</v>
      </c>
      <c r="F249" s="6" t="s">
        <v>101</v>
      </c>
      <c r="G249" s="6" t="s">
        <v>80</v>
      </c>
      <c r="H249" s="6" t="s">
        <v>105</v>
      </c>
      <c r="I249" s="6" t="s">
        <v>112</v>
      </c>
      <c r="J249" s="6" t="s">
        <v>126</v>
      </c>
      <c r="K249" s="6" t="s">
        <v>108</v>
      </c>
      <c r="L249" s="6">
        <v>5</v>
      </c>
      <c r="M249" s="6">
        <v>620.13</v>
      </c>
      <c r="N249" s="6">
        <v>5</v>
      </c>
    </row>
    <row r="250" spans="1:14" x14ac:dyDescent="0.25">
      <c r="A250" s="6">
        <v>10374</v>
      </c>
      <c r="B250" s="6">
        <v>1036</v>
      </c>
      <c r="C250" s="11">
        <v>45136</v>
      </c>
      <c r="D250" s="11">
        <v>45141</v>
      </c>
      <c r="E250" s="6" t="s">
        <v>100</v>
      </c>
      <c r="F250" s="6" t="s">
        <v>79</v>
      </c>
      <c r="G250" s="6" t="s">
        <v>80</v>
      </c>
      <c r="H250" s="6" t="s">
        <v>105</v>
      </c>
      <c r="I250" s="6" t="s">
        <v>120</v>
      </c>
      <c r="J250" s="6" t="s">
        <v>121</v>
      </c>
      <c r="K250" s="6" t="s">
        <v>96</v>
      </c>
      <c r="L250" s="6">
        <v>5</v>
      </c>
      <c r="M250" s="6">
        <v>1651.11</v>
      </c>
      <c r="N250" s="6">
        <v>20</v>
      </c>
    </row>
    <row r="251" spans="1:14" x14ac:dyDescent="0.25">
      <c r="A251" s="6">
        <v>10494</v>
      </c>
      <c r="B251" s="6">
        <v>1322</v>
      </c>
      <c r="C251" s="11">
        <v>45151</v>
      </c>
      <c r="D251" s="11">
        <v>45154</v>
      </c>
      <c r="E251" s="6" t="s">
        <v>100</v>
      </c>
      <c r="F251" s="6" t="s">
        <v>104</v>
      </c>
      <c r="G251" s="6" t="s">
        <v>80</v>
      </c>
      <c r="H251" s="6" t="s">
        <v>107</v>
      </c>
      <c r="I251" s="6" t="s">
        <v>120</v>
      </c>
      <c r="J251" s="6" t="s">
        <v>129</v>
      </c>
      <c r="K251" s="6" t="s">
        <v>108</v>
      </c>
      <c r="L251" s="6">
        <v>5</v>
      </c>
      <c r="M251" s="6">
        <v>529.59</v>
      </c>
      <c r="N251" s="6">
        <v>5</v>
      </c>
    </row>
    <row r="252" spans="1:14" x14ac:dyDescent="0.25">
      <c r="A252" s="6">
        <v>10037</v>
      </c>
      <c r="B252" s="6">
        <v>1747</v>
      </c>
      <c r="C252" s="11">
        <v>45161</v>
      </c>
      <c r="D252" s="11">
        <v>45165</v>
      </c>
      <c r="E252" s="6" t="s">
        <v>100</v>
      </c>
      <c r="F252" s="6" t="s">
        <v>79</v>
      </c>
      <c r="G252" s="6" t="s">
        <v>87</v>
      </c>
      <c r="H252" s="6" t="s">
        <v>81</v>
      </c>
      <c r="I252" s="6" t="s">
        <v>82</v>
      </c>
      <c r="J252" s="6" t="s">
        <v>118</v>
      </c>
      <c r="K252" s="6" t="s">
        <v>84</v>
      </c>
      <c r="L252" s="6">
        <v>4</v>
      </c>
      <c r="M252" s="6">
        <v>853.29</v>
      </c>
      <c r="N252" s="6">
        <v>5</v>
      </c>
    </row>
    <row r="253" spans="1:14" x14ac:dyDescent="0.25">
      <c r="A253" s="6">
        <v>10098</v>
      </c>
      <c r="B253" s="6">
        <v>1702</v>
      </c>
      <c r="C253" s="11">
        <v>44946</v>
      </c>
      <c r="D253" s="11">
        <v>44947</v>
      </c>
      <c r="E253" s="6" t="s">
        <v>100</v>
      </c>
      <c r="F253" s="6" t="s">
        <v>117</v>
      </c>
      <c r="G253" s="6" t="s">
        <v>87</v>
      </c>
      <c r="H253" s="6" t="s">
        <v>105</v>
      </c>
      <c r="I253" s="6" t="s">
        <v>89</v>
      </c>
      <c r="J253" s="6" t="s">
        <v>99</v>
      </c>
      <c r="K253" s="6" t="s">
        <v>108</v>
      </c>
      <c r="L253" s="6">
        <v>4</v>
      </c>
      <c r="M253" s="6">
        <v>1362.08</v>
      </c>
      <c r="N253" s="6">
        <v>15</v>
      </c>
    </row>
    <row r="254" spans="1:14" x14ac:dyDescent="0.25">
      <c r="A254" s="6">
        <v>10112</v>
      </c>
      <c r="B254" s="6">
        <v>1726</v>
      </c>
      <c r="C254" s="11">
        <v>45153</v>
      </c>
      <c r="D254" s="11">
        <v>45154</v>
      </c>
      <c r="E254" s="6" t="s">
        <v>100</v>
      </c>
      <c r="F254" s="6" t="s">
        <v>104</v>
      </c>
      <c r="G254" s="6" t="s">
        <v>93</v>
      </c>
      <c r="H254" s="6" t="s">
        <v>81</v>
      </c>
      <c r="I254" s="6" t="s">
        <v>89</v>
      </c>
      <c r="J254" s="6" t="s">
        <v>99</v>
      </c>
      <c r="K254" s="6" t="s">
        <v>84</v>
      </c>
      <c r="L254" s="6">
        <v>4</v>
      </c>
      <c r="M254" s="6">
        <v>1110.5899999999999</v>
      </c>
      <c r="N254" s="6">
        <v>20</v>
      </c>
    </row>
    <row r="255" spans="1:14" x14ac:dyDescent="0.25">
      <c r="A255" s="6">
        <v>10214</v>
      </c>
      <c r="B255" s="6">
        <v>1698</v>
      </c>
      <c r="C255" s="11">
        <v>45052</v>
      </c>
      <c r="D255" s="11">
        <v>45061</v>
      </c>
      <c r="E255" s="6" t="s">
        <v>100</v>
      </c>
      <c r="F255" s="6" t="s">
        <v>92</v>
      </c>
      <c r="G255" s="6" t="s">
        <v>87</v>
      </c>
      <c r="H255" s="6" t="s">
        <v>107</v>
      </c>
      <c r="I255" s="6" t="s">
        <v>112</v>
      </c>
      <c r="J255" s="6" t="s">
        <v>126</v>
      </c>
      <c r="K255" s="6" t="s">
        <v>110</v>
      </c>
      <c r="L255" s="6">
        <v>4</v>
      </c>
      <c r="M255" s="6">
        <v>1719.71</v>
      </c>
      <c r="N255" s="6">
        <v>15</v>
      </c>
    </row>
    <row r="256" spans="1:14" x14ac:dyDescent="0.25">
      <c r="A256" s="6">
        <v>10217</v>
      </c>
      <c r="B256" s="6">
        <v>1795</v>
      </c>
      <c r="C256" s="11">
        <v>45055</v>
      </c>
      <c r="D256" s="11">
        <v>45057</v>
      </c>
      <c r="E256" s="6" t="s">
        <v>100</v>
      </c>
      <c r="F256" s="6" t="s">
        <v>104</v>
      </c>
      <c r="G256" s="6" t="s">
        <v>87</v>
      </c>
      <c r="H256" s="6" t="s">
        <v>105</v>
      </c>
      <c r="I256" s="6" t="s">
        <v>112</v>
      </c>
      <c r="J256" s="6" t="s">
        <v>113</v>
      </c>
      <c r="K256" s="6" t="s">
        <v>91</v>
      </c>
      <c r="L256" s="6">
        <v>4</v>
      </c>
      <c r="M256" s="6">
        <v>3335.32</v>
      </c>
      <c r="N256" s="6">
        <v>20</v>
      </c>
    </row>
    <row r="257" spans="1:14" x14ac:dyDescent="0.25">
      <c r="A257" s="6">
        <v>10252</v>
      </c>
      <c r="B257" s="6">
        <v>1648</v>
      </c>
      <c r="C257" s="11">
        <v>45110</v>
      </c>
      <c r="D257" s="11">
        <v>45114</v>
      </c>
      <c r="E257" s="6" t="s">
        <v>100</v>
      </c>
      <c r="F257" s="6" t="s">
        <v>101</v>
      </c>
      <c r="G257" s="6" t="s">
        <v>87</v>
      </c>
      <c r="H257" s="6" t="s">
        <v>105</v>
      </c>
      <c r="I257" s="6" t="s">
        <v>115</v>
      </c>
      <c r="J257" s="6" t="s">
        <v>123</v>
      </c>
      <c r="K257" s="6" t="s">
        <v>96</v>
      </c>
      <c r="L257" s="6">
        <v>4</v>
      </c>
      <c r="M257" s="6">
        <v>1868.8</v>
      </c>
      <c r="N257" s="6">
        <v>20</v>
      </c>
    </row>
    <row r="258" spans="1:14" x14ac:dyDescent="0.25">
      <c r="A258" s="6">
        <v>10274</v>
      </c>
      <c r="B258" s="6">
        <v>1509</v>
      </c>
      <c r="C258" s="11">
        <v>45240</v>
      </c>
      <c r="D258" s="11">
        <v>45241</v>
      </c>
      <c r="E258" s="6" t="s">
        <v>100</v>
      </c>
      <c r="F258" s="6" t="s">
        <v>79</v>
      </c>
      <c r="G258" s="6" t="s">
        <v>87</v>
      </c>
      <c r="H258" s="6" t="s">
        <v>107</v>
      </c>
      <c r="I258" s="6" t="s">
        <v>115</v>
      </c>
      <c r="J258" s="6" t="s">
        <v>123</v>
      </c>
      <c r="K258" s="6" t="s">
        <v>96</v>
      </c>
      <c r="L258" s="6">
        <v>4</v>
      </c>
      <c r="M258" s="6">
        <v>1258.1500000000001</v>
      </c>
      <c r="N258" s="6">
        <v>0</v>
      </c>
    </row>
    <row r="259" spans="1:14" x14ac:dyDescent="0.25">
      <c r="A259" s="6">
        <v>10308</v>
      </c>
      <c r="B259" s="6">
        <v>1122</v>
      </c>
      <c r="C259" s="11">
        <v>44931</v>
      </c>
      <c r="D259" s="11">
        <v>44940</v>
      </c>
      <c r="E259" s="6" t="s">
        <v>100</v>
      </c>
      <c r="F259" s="6" t="s">
        <v>86</v>
      </c>
      <c r="G259" s="6" t="s">
        <v>93</v>
      </c>
      <c r="H259" s="6" t="s">
        <v>88</v>
      </c>
      <c r="I259" s="6" t="s">
        <v>115</v>
      </c>
      <c r="J259" s="6" t="s">
        <v>116</v>
      </c>
      <c r="K259" s="6" t="s">
        <v>108</v>
      </c>
      <c r="L259" s="6">
        <v>4</v>
      </c>
      <c r="M259" s="6">
        <v>3143.2</v>
      </c>
      <c r="N259" s="6">
        <v>0</v>
      </c>
    </row>
    <row r="260" spans="1:14" x14ac:dyDescent="0.25">
      <c r="A260" s="6">
        <v>10465</v>
      </c>
      <c r="B260" s="6">
        <v>1016</v>
      </c>
      <c r="C260" s="11">
        <v>45082</v>
      </c>
      <c r="D260" s="11">
        <v>45089</v>
      </c>
      <c r="E260" s="6" t="s">
        <v>100</v>
      </c>
      <c r="F260" s="6" t="s">
        <v>86</v>
      </c>
      <c r="G260" s="6" t="s">
        <v>93</v>
      </c>
      <c r="H260" s="6" t="s">
        <v>107</v>
      </c>
      <c r="I260" s="6" t="s">
        <v>82</v>
      </c>
      <c r="J260" s="6" t="s">
        <v>106</v>
      </c>
      <c r="K260" s="6" t="s">
        <v>96</v>
      </c>
      <c r="L260" s="6">
        <v>4</v>
      </c>
      <c r="M260" s="6">
        <v>589.44000000000005</v>
      </c>
      <c r="N260" s="6">
        <v>20</v>
      </c>
    </row>
    <row r="261" spans="1:14" x14ac:dyDescent="0.25">
      <c r="A261" s="6">
        <v>10027</v>
      </c>
      <c r="B261" s="6">
        <v>1805</v>
      </c>
      <c r="C261" s="11">
        <v>45286</v>
      </c>
      <c r="D261" s="11">
        <v>45290</v>
      </c>
      <c r="E261" s="6" t="s">
        <v>100</v>
      </c>
      <c r="F261" s="6" t="s">
        <v>104</v>
      </c>
      <c r="G261" s="6" t="s">
        <v>87</v>
      </c>
      <c r="H261" s="6" t="s">
        <v>98</v>
      </c>
      <c r="I261" s="6" t="s">
        <v>120</v>
      </c>
      <c r="J261" s="6" t="s">
        <v>121</v>
      </c>
      <c r="K261" s="6" t="s">
        <v>84</v>
      </c>
      <c r="L261" s="6">
        <v>3</v>
      </c>
      <c r="M261" s="6">
        <v>3599.15</v>
      </c>
      <c r="N261" s="6">
        <v>5</v>
      </c>
    </row>
    <row r="262" spans="1:14" x14ac:dyDescent="0.25">
      <c r="A262" s="6">
        <v>10055</v>
      </c>
      <c r="B262" s="6">
        <v>1243</v>
      </c>
      <c r="C262" s="11">
        <v>45110</v>
      </c>
      <c r="D262" s="11">
        <v>45115</v>
      </c>
      <c r="E262" s="6" t="s">
        <v>100</v>
      </c>
      <c r="F262" s="6" t="s">
        <v>79</v>
      </c>
      <c r="G262" s="6" t="s">
        <v>87</v>
      </c>
      <c r="H262" s="6" t="s">
        <v>81</v>
      </c>
      <c r="I262" s="6" t="s">
        <v>115</v>
      </c>
      <c r="J262" s="6" t="s">
        <v>127</v>
      </c>
      <c r="K262" s="6" t="s">
        <v>108</v>
      </c>
      <c r="L262" s="6">
        <v>2</v>
      </c>
      <c r="M262" s="6">
        <v>3723.19</v>
      </c>
      <c r="N262" s="6">
        <v>5</v>
      </c>
    </row>
    <row r="263" spans="1:14" x14ac:dyDescent="0.25">
      <c r="A263" s="6">
        <v>10102</v>
      </c>
      <c r="B263" s="6">
        <v>1161</v>
      </c>
      <c r="C263" s="11">
        <v>44996</v>
      </c>
      <c r="D263" s="11">
        <v>45002</v>
      </c>
      <c r="E263" s="6" t="s">
        <v>100</v>
      </c>
      <c r="F263" s="6" t="s">
        <v>117</v>
      </c>
      <c r="G263" s="6" t="s">
        <v>93</v>
      </c>
      <c r="H263" s="6" t="s">
        <v>88</v>
      </c>
      <c r="I263" s="6" t="s">
        <v>94</v>
      </c>
      <c r="J263" s="6" t="s">
        <v>102</v>
      </c>
      <c r="K263" s="6" t="s">
        <v>84</v>
      </c>
      <c r="L263" s="6">
        <v>2</v>
      </c>
      <c r="M263" s="6">
        <v>1859.03</v>
      </c>
      <c r="N263" s="6">
        <v>20</v>
      </c>
    </row>
    <row r="264" spans="1:14" x14ac:dyDescent="0.25">
      <c r="A264" s="6">
        <v>10141</v>
      </c>
      <c r="B264" s="6">
        <v>1062</v>
      </c>
      <c r="C264" s="11">
        <v>45085</v>
      </c>
      <c r="D264" s="11">
        <v>45092</v>
      </c>
      <c r="E264" s="6" t="s">
        <v>100</v>
      </c>
      <c r="F264" s="6" t="s">
        <v>92</v>
      </c>
      <c r="G264" s="6" t="s">
        <v>80</v>
      </c>
      <c r="H264" s="6" t="s">
        <v>88</v>
      </c>
      <c r="I264" s="6" t="s">
        <v>94</v>
      </c>
      <c r="J264" s="6" t="s">
        <v>102</v>
      </c>
      <c r="K264" s="6" t="s">
        <v>91</v>
      </c>
      <c r="L264" s="6">
        <v>2</v>
      </c>
      <c r="M264" s="6">
        <v>1766.42</v>
      </c>
      <c r="N264" s="6">
        <v>10</v>
      </c>
    </row>
    <row r="265" spans="1:14" x14ac:dyDescent="0.25">
      <c r="A265" s="6">
        <v>10218</v>
      </c>
      <c r="B265" s="6">
        <v>1577</v>
      </c>
      <c r="C265" s="11">
        <v>45206</v>
      </c>
      <c r="D265" s="11">
        <v>45209</v>
      </c>
      <c r="E265" s="6" t="s">
        <v>100</v>
      </c>
      <c r="F265" s="6" t="s">
        <v>92</v>
      </c>
      <c r="G265" s="6" t="s">
        <v>80</v>
      </c>
      <c r="H265" s="6" t="s">
        <v>107</v>
      </c>
      <c r="I265" s="6" t="s">
        <v>89</v>
      </c>
      <c r="J265" s="6" t="s">
        <v>131</v>
      </c>
      <c r="K265" s="6" t="s">
        <v>108</v>
      </c>
      <c r="L265" s="6">
        <v>2</v>
      </c>
      <c r="M265" s="6">
        <v>2401.63</v>
      </c>
      <c r="N265" s="6">
        <v>0</v>
      </c>
    </row>
    <row r="266" spans="1:14" x14ac:dyDescent="0.25">
      <c r="A266" s="6">
        <v>10243</v>
      </c>
      <c r="B266" s="6">
        <v>1632</v>
      </c>
      <c r="C266" s="11">
        <v>45108</v>
      </c>
      <c r="D266" s="11">
        <v>45109</v>
      </c>
      <c r="E266" s="6" t="s">
        <v>100</v>
      </c>
      <c r="F266" s="6" t="s">
        <v>86</v>
      </c>
      <c r="G266" s="6" t="s">
        <v>93</v>
      </c>
      <c r="H266" s="6" t="s">
        <v>81</v>
      </c>
      <c r="I266" s="6" t="s">
        <v>120</v>
      </c>
      <c r="J266" s="6" t="s">
        <v>122</v>
      </c>
      <c r="K266" s="6" t="s">
        <v>91</v>
      </c>
      <c r="L266" s="6">
        <v>2</v>
      </c>
      <c r="M266" s="6">
        <v>601.53</v>
      </c>
      <c r="N266" s="6">
        <v>20</v>
      </c>
    </row>
    <row r="267" spans="1:14" x14ac:dyDescent="0.25">
      <c r="A267" s="6">
        <v>10326</v>
      </c>
      <c r="B267" s="6">
        <v>1325</v>
      </c>
      <c r="C267" s="11">
        <v>45118</v>
      </c>
      <c r="D267" s="11">
        <v>45124</v>
      </c>
      <c r="E267" s="6" t="s">
        <v>100</v>
      </c>
      <c r="F267" s="6" t="s">
        <v>79</v>
      </c>
      <c r="G267" s="6" t="s">
        <v>87</v>
      </c>
      <c r="H267" s="6" t="s">
        <v>107</v>
      </c>
      <c r="I267" s="6" t="s">
        <v>115</v>
      </c>
      <c r="J267" s="6" t="s">
        <v>123</v>
      </c>
      <c r="K267" s="6" t="s">
        <v>96</v>
      </c>
      <c r="L267" s="6">
        <v>2</v>
      </c>
      <c r="M267" s="6">
        <v>3428.64</v>
      </c>
      <c r="N267" s="6">
        <v>10</v>
      </c>
    </row>
    <row r="268" spans="1:14" x14ac:dyDescent="0.25">
      <c r="A268" s="6">
        <v>10152</v>
      </c>
      <c r="B268" s="6">
        <v>1230</v>
      </c>
      <c r="C268" s="11">
        <v>45043</v>
      </c>
      <c r="D268" s="11">
        <v>45050</v>
      </c>
      <c r="E268" s="6" t="s">
        <v>100</v>
      </c>
      <c r="F268" s="6" t="s">
        <v>79</v>
      </c>
      <c r="G268" s="6" t="s">
        <v>87</v>
      </c>
      <c r="H268" s="6" t="s">
        <v>107</v>
      </c>
      <c r="I268" s="6" t="s">
        <v>115</v>
      </c>
      <c r="J268" s="6" t="s">
        <v>119</v>
      </c>
      <c r="K268" s="6" t="s">
        <v>110</v>
      </c>
      <c r="L268" s="6">
        <v>1</v>
      </c>
      <c r="M268" s="6">
        <v>3249.11</v>
      </c>
      <c r="N268" s="6">
        <v>10</v>
      </c>
    </row>
    <row r="269" spans="1:14" x14ac:dyDescent="0.25">
      <c r="A269" s="6">
        <v>10186</v>
      </c>
      <c r="B269" s="6">
        <v>1794</v>
      </c>
      <c r="C269" s="11">
        <v>45251</v>
      </c>
      <c r="D269" s="11">
        <v>45254</v>
      </c>
      <c r="E269" s="6" t="s">
        <v>100</v>
      </c>
      <c r="F269" s="6" t="s">
        <v>104</v>
      </c>
      <c r="G269" s="6" t="s">
        <v>93</v>
      </c>
      <c r="H269" s="6" t="s">
        <v>88</v>
      </c>
      <c r="I269" s="6" t="s">
        <v>115</v>
      </c>
      <c r="J269" s="6" t="s">
        <v>119</v>
      </c>
      <c r="K269" s="6" t="s">
        <v>110</v>
      </c>
      <c r="L269" s="6">
        <v>1</v>
      </c>
      <c r="M269" s="6">
        <v>508.81</v>
      </c>
      <c r="N269" s="6">
        <v>0</v>
      </c>
    </row>
    <row r="270" spans="1:14" x14ac:dyDescent="0.25">
      <c r="A270" s="6">
        <v>10268</v>
      </c>
      <c r="B270" s="6">
        <v>1112</v>
      </c>
      <c r="C270" s="11">
        <v>45069</v>
      </c>
      <c r="D270" s="11">
        <v>45072</v>
      </c>
      <c r="E270" s="6" t="s">
        <v>100</v>
      </c>
      <c r="F270" s="6" t="s">
        <v>79</v>
      </c>
      <c r="G270" s="6" t="s">
        <v>93</v>
      </c>
      <c r="H270" s="6" t="s">
        <v>105</v>
      </c>
      <c r="I270" s="6" t="s">
        <v>94</v>
      </c>
      <c r="J270" s="6" t="s">
        <v>102</v>
      </c>
      <c r="K270" s="6" t="s">
        <v>91</v>
      </c>
      <c r="L270" s="6">
        <v>1</v>
      </c>
      <c r="M270" s="6">
        <v>2660.56</v>
      </c>
      <c r="N270" s="6">
        <v>10</v>
      </c>
    </row>
    <row r="271" spans="1:14" x14ac:dyDescent="0.25">
      <c r="A271" s="6">
        <v>10314</v>
      </c>
      <c r="B271" s="6">
        <v>1883</v>
      </c>
      <c r="C271" s="11">
        <v>45256</v>
      </c>
      <c r="D271" s="11">
        <v>45264</v>
      </c>
      <c r="E271" s="6" t="s">
        <v>100</v>
      </c>
      <c r="F271" s="6" t="s">
        <v>79</v>
      </c>
      <c r="G271" s="6" t="s">
        <v>87</v>
      </c>
      <c r="H271" s="6" t="s">
        <v>88</v>
      </c>
      <c r="I271" s="6" t="s">
        <v>89</v>
      </c>
      <c r="J271" s="6" t="s">
        <v>131</v>
      </c>
      <c r="K271" s="6" t="s">
        <v>91</v>
      </c>
      <c r="L271" s="6">
        <v>1</v>
      </c>
      <c r="M271" s="6">
        <v>1681.85</v>
      </c>
      <c r="N271" s="6">
        <v>5</v>
      </c>
    </row>
    <row r="272" spans="1:14" x14ac:dyDescent="0.25">
      <c r="A272" s="6">
        <v>10383</v>
      </c>
      <c r="B272" s="6">
        <v>1403</v>
      </c>
      <c r="C272" s="11">
        <v>45040</v>
      </c>
      <c r="D272" s="11">
        <v>45042</v>
      </c>
      <c r="E272" s="6" t="s">
        <v>100</v>
      </c>
      <c r="F272" s="6" t="s">
        <v>86</v>
      </c>
      <c r="G272" s="6" t="s">
        <v>87</v>
      </c>
      <c r="H272" s="6" t="s">
        <v>105</v>
      </c>
      <c r="I272" s="6" t="s">
        <v>94</v>
      </c>
      <c r="J272" s="6" t="s">
        <v>111</v>
      </c>
      <c r="K272" s="6" t="s">
        <v>96</v>
      </c>
      <c r="L272" s="6">
        <v>1</v>
      </c>
      <c r="M272" s="6">
        <v>3581.58</v>
      </c>
      <c r="N272" s="6">
        <v>15</v>
      </c>
    </row>
    <row r="273" spans="1:14" x14ac:dyDescent="0.25">
      <c r="A273" s="6">
        <v>10440</v>
      </c>
      <c r="B273" s="6">
        <v>1037</v>
      </c>
      <c r="C273" s="11">
        <v>45144</v>
      </c>
      <c r="D273" s="11">
        <v>45149</v>
      </c>
      <c r="E273" s="6" t="s">
        <v>100</v>
      </c>
      <c r="F273" s="6" t="s">
        <v>117</v>
      </c>
      <c r="G273" s="6" t="s">
        <v>80</v>
      </c>
      <c r="H273" s="6" t="s">
        <v>105</v>
      </c>
      <c r="I273" s="6" t="s">
        <v>112</v>
      </c>
      <c r="J273" s="6" t="s">
        <v>113</v>
      </c>
      <c r="K273" s="6" t="s">
        <v>96</v>
      </c>
      <c r="L273" s="6">
        <v>1</v>
      </c>
      <c r="M273" s="6">
        <v>3775.07</v>
      </c>
      <c r="N273" s="6">
        <v>10</v>
      </c>
    </row>
    <row r="274" spans="1:14" x14ac:dyDescent="0.25">
      <c r="A274" s="6">
        <v>10172</v>
      </c>
      <c r="B274" s="6">
        <v>1546</v>
      </c>
      <c r="C274" s="11">
        <v>45087</v>
      </c>
      <c r="D274" s="11">
        <v>45088</v>
      </c>
      <c r="E274" s="6" t="s">
        <v>109</v>
      </c>
      <c r="F274" s="6" t="s">
        <v>117</v>
      </c>
      <c r="G274" s="6" t="s">
        <v>80</v>
      </c>
      <c r="H274" s="6" t="s">
        <v>105</v>
      </c>
      <c r="I274" s="6" t="s">
        <v>112</v>
      </c>
      <c r="J274" s="6" t="s">
        <v>126</v>
      </c>
      <c r="K274" s="6" t="s">
        <v>110</v>
      </c>
      <c r="L274" s="6">
        <v>9</v>
      </c>
      <c r="M274" s="6">
        <v>3159.22</v>
      </c>
      <c r="N274" s="6">
        <v>20</v>
      </c>
    </row>
    <row r="275" spans="1:14" x14ac:dyDescent="0.25">
      <c r="A275" s="6">
        <v>10324</v>
      </c>
      <c r="B275" s="6">
        <v>1123</v>
      </c>
      <c r="C275" s="11">
        <v>45064</v>
      </c>
      <c r="D275" s="11">
        <v>45070</v>
      </c>
      <c r="E275" s="6" t="s">
        <v>109</v>
      </c>
      <c r="F275" s="6" t="s">
        <v>104</v>
      </c>
      <c r="G275" s="6" t="s">
        <v>87</v>
      </c>
      <c r="H275" s="6" t="s">
        <v>107</v>
      </c>
      <c r="I275" s="6" t="s">
        <v>120</v>
      </c>
      <c r="J275" s="6" t="s">
        <v>121</v>
      </c>
      <c r="K275" s="6" t="s">
        <v>96</v>
      </c>
      <c r="L275" s="6">
        <v>9</v>
      </c>
      <c r="M275" s="6">
        <v>3472.58</v>
      </c>
      <c r="N275" s="6">
        <v>15</v>
      </c>
    </row>
    <row r="276" spans="1:14" x14ac:dyDescent="0.25">
      <c r="A276" s="6">
        <v>10498</v>
      </c>
      <c r="B276" s="6">
        <v>1734</v>
      </c>
      <c r="C276" s="11">
        <v>45017</v>
      </c>
      <c r="D276" s="11">
        <v>45025</v>
      </c>
      <c r="E276" s="6" t="s">
        <v>109</v>
      </c>
      <c r="F276" s="6" t="s">
        <v>79</v>
      </c>
      <c r="G276" s="6" t="s">
        <v>93</v>
      </c>
      <c r="H276" s="6" t="s">
        <v>81</v>
      </c>
      <c r="I276" s="6" t="s">
        <v>89</v>
      </c>
      <c r="J276" s="6" t="s">
        <v>99</v>
      </c>
      <c r="K276" s="6" t="s">
        <v>91</v>
      </c>
      <c r="L276" s="6">
        <v>9</v>
      </c>
      <c r="M276" s="6">
        <v>2190.39</v>
      </c>
      <c r="N276" s="6">
        <v>20</v>
      </c>
    </row>
    <row r="277" spans="1:14" x14ac:dyDescent="0.25">
      <c r="A277" s="6">
        <v>10060</v>
      </c>
      <c r="B277" s="6">
        <v>1818</v>
      </c>
      <c r="C277" s="11">
        <v>44949</v>
      </c>
      <c r="D277" s="11">
        <v>44952</v>
      </c>
      <c r="E277" s="6" t="s">
        <v>109</v>
      </c>
      <c r="F277" s="6" t="s">
        <v>104</v>
      </c>
      <c r="G277" s="6" t="s">
        <v>93</v>
      </c>
      <c r="H277" s="6" t="s">
        <v>105</v>
      </c>
      <c r="I277" s="6" t="s">
        <v>120</v>
      </c>
      <c r="J277" s="6" t="s">
        <v>125</v>
      </c>
      <c r="K277" s="6" t="s">
        <v>108</v>
      </c>
      <c r="L277" s="6">
        <v>8</v>
      </c>
      <c r="M277" s="6">
        <v>3128.25</v>
      </c>
      <c r="N277" s="6">
        <v>15</v>
      </c>
    </row>
    <row r="278" spans="1:14" x14ac:dyDescent="0.25">
      <c r="A278" s="6">
        <v>10161</v>
      </c>
      <c r="B278" s="6">
        <v>1047</v>
      </c>
      <c r="C278" s="11">
        <v>45109</v>
      </c>
      <c r="D278" s="11">
        <v>45111</v>
      </c>
      <c r="E278" s="6" t="s">
        <v>109</v>
      </c>
      <c r="F278" s="6" t="s">
        <v>104</v>
      </c>
      <c r="G278" s="6" t="s">
        <v>80</v>
      </c>
      <c r="H278" s="6" t="s">
        <v>98</v>
      </c>
      <c r="I278" s="6" t="s">
        <v>82</v>
      </c>
      <c r="J278" s="6" t="s">
        <v>83</v>
      </c>
      <c r="K278" s="6" t="s">
        <v>96</v>
      </c>
      <c r="L278" s="6">
        <v>8</v>
      </c>
      <c r="M278" s="6">
        <v>1168.3900000000001</v>
      </c>
      <c r="N278" s="6">
        <v>10</v>
      </c>
    </row>
    <row r="279" spans="1:14" x14ac:dyDescent="0.25">
      <c r="A279" s="6">
        <v>10208</v>
      </c>
      <c r="B279" s="6">
        <v>1170</v>
      </c>
      <c r="C279" s="11">
        <v>45118</v>
      </c>
      <c r="D279" s="11">
        <v>45123</v>
      </c>
      <c r="E279" s="6" t="s">
        <v>109</v>
      </c>
      <c r="F279" s="6" t="s">
        <v>104</v>
      </c>
      <c r="G279" s="6" t="s">
        <v>87</v>
      </c>
      <c r="H279" s="6" t="s">
        <v>105</v>
      </c>
      <c r="I279" s="6" t="s">
        <v>115</v>
      </c>
      <c r="J279" s="6" t="s">
        <v>116</v>
      </c>
      <c r="K279" s="6" t="s">
        <v>91</v>
      </c>
      <c r="L279" s="6">
        <v>8</v>
      </c>
      <c r="M279" s="6">
        <v>953.07</v>
      </c>
      <c r="N279" s="6">
        <v>20</v>
      </c>
    </row>
    <row r="280" spans="1:14" x14ac:dyDescent="0.25">
      <c r="A280" s="6">
        <v>10280</v>
      </c>
      <c r="B280" s="6">
        <v>1624</v>
      </c>
      <c r="C280" s="11">
        <v>45144</v>
      </c>
      <c r="D280" s="11">
        <v>45149</v>
      </c>
      <c r="E280" s="6" t="s">
        <v>109</v>
      </c>
      <c r="F280" s="6" t="s">
        <v>104</v>
      </c>
      <c r="G280" s="6" t="s">
        <v>87</v>
      </c>
      <c r="H280" s="6" t="s">
        <v>81</v>
      </c>
      <c r="I280" s="6" t="s">
        <v>112</v>
      </c>
      <c r="J280" s="6" t="s">
        <v>130</v>
      </c>
      <c r="K280" s="6" t="s">
        <v>96</v>
      </c>
      <c r="L280" s="6">
        <v>8</v>
      </c>
      <c r="M280" s="6">
        <v>3784.12</v>
      </c>
      <c r="N280" s="6">
        <v>15</v>
      </c>
    </row>
    <row r="281" spans="1:14" x14ac:dyDescent="0.25">
      <c r="A281" s="6">
        <v>10316</v>
      </c>
      <c r="B281" s="6">
        <v>1197</v>
      </c>
      <c r="C281" s="11">
        <v>45070</v>
      </c>
      <c r="D281" s="11">
        <v>45071</v>
      </c>
      <c r="E281" s="6" t="s">
        <v>109</v>
      </c>
      <c r="F281" s="6" t="s">
        <v>101</v>
      </c>
      <c r="G281" s="6" t="s">
        <v>93</v>
      </c>
      <c r="H281" s="6" t="s">
        <v>81</v>
      </c>
      <c r="I281" s="6" t="s">
        <v>120</v>
      </c>
      <c r="J281" s="6" t="s">
        <v>121</v>
      </c>
      <c r="K281" s="6" t="s">
        <v>96</v>
      </c>
      <c r="L281" s="6">
        <v>8</v>
      </c>
      <c r="M281" s="6">
        <v>2429.2600000000002</v>
      </c>
      <c r="N281" s="6">
        <v>15</v>
      </c>
    </row>
    <row r="282" spans="1:14" x14ac:dyDescent="0.25">
      <c r="A282" s="6">
        <v>10367</v>
      </c>
      <c r="B282" s="6">
        <v>1880</v>
      </c>
      <c r="C282" s="11">
        <v>45090</v>
      </c>
      <c r="D282" s="11">
        <v>45095</v>
      </c>
      <c r="E282" s="6" t="s">
        <v>109</v>
      </c>
      <c r="F282" s="6" t="s">
        <v>104</v>
      </c>
      <c r="G282" s="6" t="s">
        <v>93</v>
      </c>
      <c r="H282" s="6" t="s">
        <v>98</v>
      </c>
      <c r="I282" s="6" t="s">
        <v>120</v>
      </c>
      <c r="J282" s="6" t="s">
        <v>125</v>
      </c>
      <c r="K282" s="6" t="s">
        <v>108</v>
      </c>
      <c r="L282" s="6">
        <v>8</v>
      </c>
      <c r="M282" s="6">
        <v>3610.33</v>
      </c>
      <c r="N282" s="6">
        <v>5</v>
      </c>
    </row>
    <row r="283" spans="1:14" x14ac:dyDescent="0.25">
      <c r="A283" s="6">
        <v>10387</v>
      </c>
      <c r="B283" s="6">
        <v>1672</v>
      </c>
      <c r="C283" s="11">
        <v>45055</v>
      </c>
      <c r="D283" s="11">
        <v>45062</v>
      </c>
      <c r="E283" s="6" t="s">
        <v>109</v>
      </c>
      <c r="F283" s="6" t="s">
        <v>92</v>
      </c>
      <c r="G283" s="6" t="s">
        <v>87</v>
      </c>
      <c r="H283" s="6" t="s">
        <v>105</v>
      </c>
      <c r="I283" s="6" t="s">
        <v>94</v>
      </c>
      <c r="J283" s="6" t="s">
        <v>95</v>
      </c>
      <c r="K283" s="6" t="s">
        <v>96</v>
      </c>
      <c r="L283" s="6">
        <v>8</v>
      </c>
      <c r="M283" s="6">
        <v>1375.47</v>
      </c>
      <c r="N283" s="6">
        <v>15</v>
      </c>
    </row>
    <row r="284" spans="1:14" x14ac:dyDescent="0.25">
      <c r="A284" s="6">
        <v>10434</v>
      </c>
      <c r="B284" s="6">
        <v>1882</v>
      </c>
      <c r="C284" s="11">
        <v>45057</v>
      </c>
      <c r="D284" s="11">
        <v>45062</v>
      </c>
      <c r="E284" s="6" t="s">
        <v>109</v>
      </c>
      <c r="F284" s="6" t="s">
        <v>117</v>
      </c>
      <c r="G284" s="6" t="s">
        <v>87</v>
      </c>
      <c r="H284" s="6" t="s">
        <v>88</v>
      </c>
      <c r="I284" s="6" t="s">
        <v>82</v>
      </c>
      <c r="J284" s="6" t="s">
        <v>83</v>
      </c>
      <c r="K284" s="6" t="s">
        <v>108</v>
      </c>
      <c r="L284" s="6">
        <v>8</v>
      </c>
      <c r="M284" s="6">
        <v>437.36</v>
      </c>
      <c r="N284" s="6">
        <v>20</v>
      </c>
    </row>
    <row r="285" spans="1:14" x14ac:dyDescent="0.25">
      <c r="A285" s="6">
        <v>10103</v>
      </c>
      <c r="B285" s="6">
        <v>1201</v>
      </c>
      <c r="C285" s="11">
        <v>45238</v>
      </c>
      <c r="D285" s="11">
        <v>45244</v>
      </c>
      <c r="E285" s="6" t="s">
        <v>109</v>
      </c>
      <c r="F285" s="6" t="s">
        <v>86</v>
      </c>
      <c r="G285" s="6" t="s">
        <v>80</v>
      </c>
      <c r="H285" s="6" t="s">
        <v>105</v>
      </c>
      <c r="I285" s="6" t="s">
        <v>82</v>
      </c>
      <c r="J285" s="6" t="s">
        <v>83</v>
      </c>
      <c r="K285" s="6" t="s">
        <v>110</v>
      </c>
      <c r="L285" s="6">
        <v>7</v>
      </c>
      <c r="M285" s="6">
        <v>3590.34</v>
      </c>
      <c r="N285" s="6">
        <v>20</v>
      </c>
    </row>
    <row r="286" spans="1:14" x14ac:dyDescent="0.25">
      <c r="A286" s="6">
        <v>10343</v>
      </c>
      <c r="B286" s="6">
        <v>1488</v>
      </c>
      <c r="C286" s="11">
        <v>45196</v>
      </c>
      <c r="D286" s="11">
        <v>45204</v>
      </c>
      <c r="E286" s="6" t="s">
        <v>109</v>
      </c>
      <c r="F286" s="6" t="s">
        <v>86</v>
      </c>
      <c r="G286" s="6" t="s">
        <v>80</v>
      </c>
      <c r="H286" s="6" t="s">
        <v>81</v>
      </c>
      <c r="I286" s="6" t="s">
        <v>112</v>
      </c>
      <c r="J286" s="6" t="s">
        <v>114</v>
      </c>
      <c r="K286" s="6" t="s">
        <v>84</v>
      </c>
      <c r="L286" s="6">
        <v>7</v>
      </c>
      <c r="M286" s="6">
        <v>313.51</v>
      </c>
      <c r="N286" s="6">
        <v>0</v>
      </c>
    </row>
    <row r="287" spans="1:14" x14ac:dyDescent="0.25">
      <c r="A287" s="6">
        <v>10012</v>
      </c>
      <c r="B287" s="6">
        <v>1214</v>
      </c>
      <c r="C287" s="11">
        <v>45214</v>
      </c>
      <c r="D287" s="11">
        <v>45220</v>
      </c>
      <c r="E287" s="6" t="s">
        <v>109</v>
      </c>
      <c r="F287" s="6" t="s">
        <v>86</v>
      </c>
      <c r="G287" s="6" t="s">
        <v>87</v>
      </c>
      <c r="H287" s="6" t="s">
        <v>107</v>
      </c>
      <c r="I287" s="6" t="s">
        <v>112</v>
      </c>
      <c r="J287" s="6" t="s">
        <v>114</v>
      </c>
      <c r="K287" s="6" t="s">
        <v>84</v>
      </c>
      <c r="L287" s="6">
        <v>6</v>
      </c>
      <c r="M287" s="6">
        <v>272.35000000000002</v>
      </c>
      <c r="N287" s="6">
        <v>5</v>
      </c>
    </row>
    <row r="288" spans="1:14" x14ac:dyDescent="0.25">
      <c r="A288" s="6">
        <v>10049</v>
      </c>
      <c r="B288" s="6">
        <v>1957</v>
      </c>
      <c r="C288" s="11">
        <v>45014</v>
      </c>
      <c r="D288" s="11">
        <v>45023</v>
      </c>
      <c r="E288" s="6" t="s">
        <v>109</v>
      </c>
      <c r="F288" s="6" t="s">
        <v>92</v>
      </c>
      <c r="G288" s="6" t="s">
        <v>80</v>
      </c>
      <c r="H288" s="6" t="s">
        <v>81</v>
      </c>
      <c r="I288" s="6" t="s">
        <v>89</v>
      </c>
      <c r="J288" s="6" t="s">
        <v>90</v>
      </c>
      <c r="K288" s="6" t="s">
        <v>84</v>
      </c>
      <c r="L288" s="6">
        <v>6</v>
      </c>
      <c r="M288" s="6">
        <v>3757.87</v>
      </c>
      <c r="N288" s="6">
        <v>15</v>
      </c>
    </row>
    <row r="289" spans="1:14" x14ac:dyDescent="0.25">
      <c r="A289" s="6">
        <v>10081</v>
      </c>
      <c r="B289" s="6">
        <v>1508</v>
      </c>
      <c r="C289" s="11">
        <v>45280</v>
      </c>
      <c r="D289" s="11">
        <v>45283</v>
      </c>
      <c r="E289" s="6" t="s">
        <v>109</v>
      </c>
      <c r="F289" s="6" t="s">
        <v>79</v>
      </c>
      <c r="G289" s="6" t="s">
        <v>93</v>
      </c>
      <c r="H289" s="6" t="s">
        <v>81</v>
      </c>
      <c r="I289" s="6" t="s">
        <v>89</v>
      </c>
      <c r="J289" s="6" t="s">
        <v>90</v>
      </c>
      <c r="K289" s="6" t="s">
        <v>110</v>
      </c>
      <c r="L289" s="6">
        <v>6</v>
      </c>
      <c r="M289" s="6">
        <v>3642.91</v>
      </c>
      <c r="N289" s="6">
        <v>0</v>
      </c>
    </row>
    <row r="290" spans="1:14" x14ac:dyDescent="0.25">
      <c r="A290" s="6">
        <v>10082</v>
      </c>
      <c r="B290" s="6">
        <v>1775</v>
      </c>
      <c r="C290" s="11">
        <v>44936</v>
      </c>
      <c r="D290" s="11">
        <v>44942</v>
      </c>
      <c r="E290" s="6" t="s">
        <v>109</v>
      </c>
      <c r="F290" s="6" t="s">
        <v>101</v>
      </c>
      <c r="G290" s="6" t="s">
        <v>87</v>
      </c>
      <c r="H290" s="6" t="s">
        <v>105</v>
      </c>
      <c r="I290" s="6" t="s">
        <v>112</v>
      </c>
      <c r="J290" s="6" t="s">
        <v>126</v>
      </c>
      <c r="K290" s="6" t="s">
        <v>110</v>
      </c>
      <c r="L290" s="6">
        <v>6</v>
      </c>
      <c r="M290" s="6">
        <v>751.69</v>
      </c>
      <c r="N290" s="6">
        <v>0</v>
      </c>
    </row>
    <row r="291" spans="1:14" x14ac:dyDescent="0.25">
      <c r="A291" s="6">
        <v>10110</v>
      </c>
      <c r="B291" s="6">
        <v>1455</v>
      </c>
      <c r="C291" s="11">
        <v>44946</v>
      </c>
      <c r="D291" s="11">
        <v>44947</v>
      </c>
      <c r="E291" s="6" t="s">
        <v>109</v>
      </c>
      <c r="F291" s="6" t="s">
        <v>79</v>
      </c>
      <c r="G291" s="6" t="s">
        <v>87</v>
      </c>
      <c r="H291" s="6" t="s">
        <v>98</v>
      </c>
      <c r="I291" s="6" t="s">
        <v>115</v>
      </c>
      <c r="J291" s="6" t="s">
        <v>119</v>
      </c>
      <c r="K291" s="6" t="s">
        <v>110</v>
      </c>
      <c r="L291" s="6">
        <v>6</v>
      </c>
      <c r="M291" s="6">
        <v>2076.84</v>
      </c>
      <c r="N291" s="6">
        <v>20</v>
      </c>
    </row>
    <row r="292" spans="1:14" x14ac:dyDescent="0.25">
      <c r="A292" s="6">
        <v>10128</v>
      </c>
      <c r="B292" s="6">
        <v>1492</v>
      </c>
      <c r="C292" s="11">
        <v>45147</v>
      </c>
      <c r="D292" s="11">
        <v>45148</v>
      </c>
      <c r="E292" s="6" t="s">
        <v>109</v>
      </c>
      <c r="F292" s="6" t="s">
        <v>101</v>
      </c>
      <c r="G292" s="6" t="s">
        <v>93</v>
      </c>
      <c r="H292" s="6" t="s">
        <v>98</v>
      </c>
      <c r="I292" s="6" t="s">
        <v>89</v>
      </c>
      <c r="J292" s="6" t="s">
        <v>124</v>
      </c>
      <c r="K292" s="6" t="s">
        <v>110</v>
      </c>
      <c r="L292" s="6">
        <v>6</v>
      </c>
      <c r="M292" s="6">
        <v>659.76</v>
      </c>
      <c r="N292" s="6">
        <v>0</v>
      </c>
    </row>
    <row r="293" spans="1:14" x14ac:dyDescent="0.25">
      <c r="A293" s="6">
        <v>10136</v>
      </c>
      <c r="B293" s="6">
        <v>1520</v>
      </c>
      <c r="C293" s="11">
        <v>45180</v>
      </c>
      <c r="D293" s="11">
        <v>45181</v>
      </c>
      <c r="E293" s="6" t="s">
        <v>109</v>
      </c>
      <c r="F293" s="6" t="s">
        <v>86</v>
      </c>
      <c r="G293" s="6" t="s">
        <v>80</v>
      </c>
      <c r="H293" s="6" t="s">
        <v>88</v>
      </c>
      <c r="I293" s="6" t="s">
        <v>94</v>
      </c>
      <c r="J293" s="6" t="s">
        <v>102</v>
      </c>
      <c r="K293" s="6" t="s">
        <v>96</v>
      </c>
      <c r="L293" s="6">
        <v>6</v>
      </c>
      <c r="M293" s="6">
        <v>1809.29</v>
      </c>
      <c r="N293" s="6">
        <v>0</v>
      </c>
    </row>
    <row r="294" spans="1:14" x14ac:dyDescent="0.25">
      <c r="A294" s="6">
        <v>10223</v>
      </c>
      <c r="B294" s="6">
        <v>1645</v>
      </c>
      <c r="C294" s="11">
        <v>45108</v>
      </c>
      <c r="D294" s="11">
        <v>45117</v>
      </c>
      <c r="E294" s="6" t="s">
        <v>109</v>
      </c>
      <c r="F294" s="6" t="s">
        <v>117</v>
      </c>
      <c r="G294" s="6" t="s">
        <v>80</v>
      </c>
      <c r="H294" s="6" t="s">
        <v>88</v>
      </c>
      <c r="I294" s="6" t="s">
        <v>120</v>
      </c>
      <c r="J294" s="6" t="s">
        <v>122</v>
      </c>
      <c r="K294" s="6" t="s">
        <v>110</v>
      </c>
      <c r="L294" s="6">
        <v>6</v>
      </c>
      <c r="M294" s="6">
        <v>1477.55</v>
      </c>
      <c r="N294" s="6">
        <v>10</v>
      </c>
    </row>
    <row r="295" spans="1:14" x14ac:dyDescent="0.25">
      <c r="A295" s="6">
        <v>10273</v>
      </c>
      <c r="B295" s="6">
        <v>1267</v>
      </c>
      <c r="C295" s="11">
        <v>45091</v>
      </c>
      <c r="D295" s="11">
        <v>45100</v>
      </c>
      <c r="E295" s="6" t="s">
        <v>109</v>
      </c>
      <c r="F295" s="6" t="s">
        <v>117</v>
      </c>
      <c r="G295" s="6" t="s">
        <v>93</v>
      </c>
      <c r="H295" s="6" t="s">
        <v>81</v>
      </c>
      <c r="I295" s="6" t="s">
        <v>94</v>
      </c>
      <c r="J295" s="6" t="s">
        <v>102</v>
      </c>
      <c r="K295" s="6" t="s">
        <v>108</v>
      </c>
      <c r="L295" s="6">
        <v>6</v>
      </c>
      <c r="M295" s="6">
        <v>384.88</v>
      </c>
      <c r="N295" s="6">
        <v>5</v>
      </c>
    </row>
    <row r="296" spans="1:14" x14ac:dyDescent="0.25">
      <c r="A296" s="6">
        <v>10396</v>
      </c>
      <c r="B296" s="6">
        <v>1851</v>
      </c>
      <c r="C296" s="11">
        <v>44958</v>
      </c>
      <c r="D296" s="11">
        <v>44966</v>
      </c>
      <c r="E296" s="6" t="s">
        <v>109</v>
      </c>
      <c r="F296" s="6" t="s">
        <v>79</v>
      </c>
      <c r="G296" s="6" t="s">
        <v>93</v>
      </c>
      <c r="H296" s="6" t="s">
        <v>107</v>
      </c>
      <c r="I296" s="6" t="s">
        <v>112</v>
      </c>
      <c r="J296" s="6" t="s">
        <v>114</v>
      </c>
      <c r="K296" s="6" t="s">
        <v>110</v>
      </c>
      <c r="L296" s="6">
        <v>6</v>
      </c>
      <c r="M296" s="6">
        <v>2354.67</v>
      </c>
      <c r="N296" s="6">
        <v>15</v>
      </c>
    </row>
    <row r="297" spans="1:14" x14ac:dyDescent="0.25">
      <c r="A297" s="6">
        <v>10431</v>
      </c>
      <c r="B297" s="6">
        <v>1687</v>
      </c>
      <c r="C297" s="11">
        <v>45139</v>
      </c>
      <c r="D297" s="11">
        <v>45146</v>
      </c>
      <c r="E297" s="6" t="s">
        <v>109</v>
      </c>
      <c r="F297" s="6" t="s">
        <v>101</v>
      </c>
      <c r="G297" s="6" t="s">
        <v>93</v>
      </c>
      <c r="H297" s="6" t="s">
        <v>98</v>
      </c>
      <c r="I297" s="6" t="s">
        <v>112</v>
      </c>
      <c r="J297" s="6" t="s">
        <v>114</v>
      </c>
      <c r="K297" s="6" t="s">
        <v>91</v>
      </c>
      <c r="L297" s="6">
        <v>6</v>
      </c>
      <c r="M297" s="6">
        <v>2247.37</v>
      </c>
      <c r="N297" s="6">
        <v>15</v>
      </c>
    </row>
    <row r="298" spans="1:14" x14ac:dyDescent="0.25">
      <c r="A298" s="6">
        <v>10053</v>
      </c>
      <c r="B298" s="6">
        <v>1875</v>
      </c>
      <c r="C298" s="11">
        <v>45115</v>
      </c>
      <c r="D298" s="11">
        <v>45118</v>
      </c>
      <c r="E298" s="6" t="s">
        <v>109</v>
      </c>
      <c r="F298" s="6" t="s">
        <v>79</v>
      </c>
      <c r="G298" s="6" t="s">
        <v>80</v>
      </c>
      <c r="H298" s="6" t="s">
        <v>98</v>
      </c>
      <c r="I298" s="6" t="s">
        <v>115</v>
      </c>
      <c r="J298" s="6" t="s">
        <v>127</v>
      </c>
      <c r="K298" s="6" t="s">
        <v>84</v>
      </c>
      <c r="L298" s="6">
        <v>5</v>
      </c>
      <c r="M298" s="6">
        <v>2534.0700000000002</v>
      </c>
      <c r="N298" s="6">
        <v>10</v>
      </c>
    </row>
    <row r="299" spans="1:14" x14ac:dyDescent="0.25">
      <c r="A299" s="6">
        <v>10105</v>
      </c>
      <c r="B299" s="6">
        <v>1995</v>
      </c>
      <c r="C299" s="11">
        <v>45027</v>
      </c>
      <c r="D299" s="11">
        <v>45029</v>
      </c>
      <c r="E299" s="6" t="s">
        <v>109</v>
      </c>
      <c r="F299" s="6" t="s">
        <v>104</v>
      </c>
      <c r="G299" s="6" t="s">
        <v>87</v>
      </c>
      <c r="H299" s="6" t="s">
        <v>98</v>
      </c>
      <c r="I299" s="6" t="s">
        <v>89</v>
      </c>
      <c r="J299" s="6" t="s">
        <v>90</v>
      </c>
      <c r="K299" s="6" t="s">
        <v>84</v>
      </c>
      <c r="L299" s="6">
        <v>5</v>
      </c>
      <c r="M299" s="6">
        <v>181.03</v>
      </c>
      <c r="N299" s="6">
        <v>10</v>
      </c>
    </row>
    <row r="300" spans="1:14" x14ac:dyDescent="0.25">
      <c r="A300" s="6">
        <v>10107</v>
      </c>
      <c r="B300" s="6">
        <v>1862</v>
      </c>
      <c r="C300" s="11">
        <v>45058</v>
      </c>
      <c r="D300" s="11">
        <v>45064</v>
      </c>
      <c r="E300" s="6" t="s">
        <v>109</v>
      </c>
      <c r="F300" s="6" t="s">
        <v>101</v>
      </c>
      <c r="G300" s="6" t="s">
        <v>80</v>
      </c>
      <c r="H300" s="6" t="s">
        <v>107</v>
      </c>
      <c r="I300" s="6" t="s">
        <v>115</v>
      </c>
      <c r="J300" s="6" t="s">
        <v>123</v>
      </c>
      <c r="K300" s="6" t="s">
        <v>108</v>
      </c>
      <c r="L300" s="6">
        <v>5</v>
      </c>
      <c r="M300" s="6">
        <v>1063.01</v>
      </c>
      <c r="N300" s="6">
        <v>15</v>
      </c>
    </row>
    <row r="301" spans="1:14" x14ac:dyDescent="0.25">
      <c r="A301" s="6">
        <v>10281</v>
      </c>
      <c r="B301" s="6">
        <v>1951</v>
      </c>
      <c r="C301" s="11">
        <v>45231</v>
      </c>
      <c r="D301" s="11">
        <v>45240</v>
      </c>
      <c r="E301" s="6" t="s">
        <v>109</v>
      </c>
      <c r="F301" s="6" t="s">
        <v>117</v>
      </c>
      <c r="G301" s="6" t="s">
        <v>93</v>
      </c>
      <c r="H301" s="6" t="s">
        <v>107</v>
      </c>
      <c r="I301" s="6" t="s">
        <v>89</v>
      </c>
      <c r="J301" s="6" t="s">
        <v>131</v>
      </c>
      <c r="K301" s="6" t="s">
        <v>84</v>
      </c>
      <c r="L301" s="6">
        <v>5</v>
      </c>
      <c r="M301" s="6">
        <v>3098.44</v>
      </c>
      <c r="N301" s="6">
        <v>0</v>
      </c>
    </row>
    <row r="302" spans="1:14" x14ac:dyDescent="0.25">
      <c r="A302" s="6">
        <v>10438</v>
      </c>
      <c r="B302" s="6">
        <v>1749</v>
      </c>
      <c r="C302" s="11">
        <v>45082</v>
      </c>
      <c r="D302" s="11">
        <v>45091</v>
      </c>
      <c r="E302" s="6" t="s">
        <v>109</v>
      </c>
      <c r="F302" s="6" t="s">
        <v>86</v>
      </c>
      <c r="G302" s="6" t="s">
        <v>93</v>
      </c>
      <c r="H302" s="6" t="s">
        <v>81</v>
      </c>
      <c r="I302" s="6" t="s">
        <v>89</v>
      </c>
      <c r="J302" s="6" t="s">
        <v>124</v>
      </c>
      <c r="K302" s="6" t="s">
        <v>110</v>
      </c>
      <c r="L302" s="6">
        <v>5</v>
      </c>
      <c r="M302" s="6">
        <v>3116.22</v>
      </c>
      <c r="N302" s="6">
        <v>10</v>
      </c>
    </row>
    <row r="303" spans="1:14" x14ac:dyDescent="0.25">
      <c r="A303" s="6">
        <v>10457</v>
      </c>
      <c r="B303" s="6">
        <v>1828</v>
      </c>
      <c r="C303" s="11">
        <v>45276</v>
      </c>
      <c r="D303" s="11">
        <v>45280</v>
      </c>
      <c r="E303" s="6" t="s">
        <v>109</v>
      </c>
      <c r="F303" s="6" t="s">
        <v>92</v>
      </c>
      <c r="G303" s="6" t="s">
        <v>87</v>
      </c>
      <c r="H303" s="6" t="s">
        <v>107</v>
      </c>
      <c r="I303" s="6" t="s">
        <v>89</v>
      </c>
      <c r="J303" s="6" t="s">
        <v>90</v>
      </c>
      <c r="K303" s="6" t="s">
        <v>91</v>
      </c>
      <c r="L303" s="6">
        <v>5</v>
      </c>
      <c r="M303" s="6">
        <v>1480.66</v>
      </c>
      <c r="N303" s="6">
        <v>0</v>
      </c>
    </row>
    <row r="304" spans="1:14" x14ac:dyDescent="0.25">
      <c r="A304" s="6">
        <v>10008</v>
      </c>
      <c r="B304" s="6">
        <v>1020</v>
      </c>
      <c r="C304" s="11">
        <v>45040</v>
      </c>
      <c r="D304" s="11">
        <v>45041</v>
      </c>
      <c r="E304" s="6" t="s">
        <v>109</v>
      </c>
      <c r="F304" s="6" t="s">
        <v>79</v>
      </c>
      <c r="G304" s="6" t="s">
        <v>87</v>
      </c>
      <c r="H304" s="6" t="s">
        <v>81</v>
      </c>
      <c r="I304" s="6" t="s">
        <v>94</v>
      </c>
      <c r="J304" s="6" t="s">
        <v>95</v>
      </c>
      <c r="K304" s="6" t="s">
        <v>110</v>
      </c>
      <c r="L304" s="6">
        <v>4</v>
      </c>
      <c r="M304" s="6">
        <v>2310.83</v>
      </c>
      <c r="N304" s="6">
        <v>10</v>
      </c>
    </row>
    <row r="305" spans="1:14" x14ac:dyDescent="0.25">
      <c r="A305" s="6">
        <v>10070</v>
      </c>
      <c r="B305" s="6">
        <v>1241</v>
      </c>
      <c r="C305" s="11">
        <v>45112</v>
      </c>
      <c r="D305" s="11">
        <v>45113</v>
      </c>
      <c r="E305" s="6" t="s">
        <v>109</v>
      </c>
      <c r="F305" s="6" t="s">
        <v>104</v>
      </c>
      <c r="G305" s="6" t="s">
        <v>80</v>
      </c>
      <c r="H305" s="6" t="s">
        <v>98</v>
      </c>
      <c r="I305" s="6" t="s">
        <v>94</v>
      </c>
      <c r="J305" s="6" t="s">
        <v>102</v>
      </c>
      <c r="K305" s="6" t="s">
        <v>96</v>
      </c>
      <c r="L305" s="6">
        <v>4</v>
      </c>
      <c r="M305" s="6">
        <v>3612.15</v>
      </c>
      <c r="N305" s="6">
        <v>20</v>
      </c>
    </row>
    <row r="306" spans="1:14" x14ac:dyDescent="0.25">
      <c r="A306" s="6">
        <v>10193</v>
      </c>
      <c r="B306" s="6">
        <v>1460</v>
      </c>
      <c r="C306" s="11">
        <v>45276</v>
      </c>
      <c r="D306" s="11">
        <v>45284</v>
      </c>
      <c r="E306" s="6" t="s">
        <v>109</v>
      </c>
      <c r="F306" s="6" t="s">
        <v>101</v>
      </c>
      <c r="G306" s="6" t="s">
        <v>93</v>
      </c>
      <c r="H306" s="6" t="s">
        <v>88</v>
      </c>
      <c r="I306" s="6" t="s">
        <v>112</v>
      </c>
      <c r="J306" s="6" t="s">
        <v>114</v>
      </c>
      <c r="K306" s="6" t="s">
        <v>96</v>
      </c>
      <c r="L306" s="6">
        <v>4</v>
      </c>
      <c r="M306" s="6">
        <v>496.18</v>
      </c>
      <c r="N306" s="6">
        <v>15</v>
      </c>
    </row>
    <row r="307" spans="1:14" x14ac:dyDescent="0.25">
      <c r="A307" s="6">
        <v>10311</v>
      </c>
      <c r="B307" s="6">
        <v>1293</v>
      </c>
      <c r="C307" s="11">
        <v>45038</v>
      </c>
      <c r="D307" s="11">
        <v>45043</v>
      </c>
      <c r="E307" s="6" t="s">
        <v>109</v>
      </c>
      <c r="F307" s="6" t="s">
        <v>86</v>
      </c>
      <c r="G307" s="6" t="s">
        <v>87</v>
      </c>
      <c r="H307" s="6" t="s">
        <v>81</v>
      </c>
      <c r="I307" s="6" t="s">
        <v>82</v>
      </c>
      <c r="J307" s="6" t="s">
        <v>106</v>
      </c>
      <c r="K307" s="6" t="s">
        <v>96</v>
      </c>
      <c r="L307" s="6">
        <v>4</v>
      </c>
      <c r="M307" s="6">
        <v>2046.51</v>
      </c>
      <c r="N307" s="6">
        <v>5</v>
      </c>
    </row>
    <row r="308" spans="1:14" x14ac:dyDescent="0.25">
      <c r="A308" s="6">
        <v>10405</v>
      </c>
      <c r="B308" s="6">
        <v>1913</v>
      </c>
      <c r="C308" s="11">
        <v>45084</v>
      </c>
      <c r="D308" s="11">
        <v>45091</v>
      </c>
      <c r="E308" s="6" t="s">
        <v>109</v>
      </c>
      <c r="F308" s="6" t="s">
        <v>86</v>
      </c>
      <c r="G308" s="6" t="s">
        <v>87</v>
      </c>
      <c r="H308" s="6" t="s">
        <v>88</v>
      </c>
      <c r="I308" s="6" t="s">
        <v>82</v>
      </c>
      <c r="J308" s="6" t="s">
        <v>132</v>
      </c>
      <c r="K308" s="6" t="s">
        <v>108</v>
      </c>
      <c r="L308" s="6">
        <v>4</v>
      </c>
      <c r="M308" s="6">
        <v>1333.99</v>
      </c>
      <c r="N308" s="6">
        <v>5</v>
      </c>
    </row>
    <row r="309" spans="1:14" x14ac:dyDescent="0.25">
      <c r="A309" s="6">
        <v>10021</v>
      </c>
      <c r="B309" s="6">
        <v>1661</v>
      </c>
      <c r="C309" s="11">
        <v>45159</v>
      </c>
      <c r="D309" s="11">
        <v>45163</v>
      </c>
      <c r="E309" s="6" t="s">
        <v>109</v>
      </c>
      <c r="F309" s="6" t="s">
        <v>92</v>
      </c>
      <c r="G309" s="6" t="s">
        <v>87</v>
      </c>
      <c r="H309" s="6" t="s">
        <v>81</v>
      </c>
      <c r="I309" s="6" t="s">
        <v>115</v>
      </c>
      <c r="J309" s="6" t="s">
        <v>119</v>
      </c>
      <c r="K309" s="6" t="s">
        <v>84</v>
      </c>
      <c r="L309" s="6">
        <v>3</v>
      </c>
      <c r="M309" s="6">
        <v>2361.58</v>
      </c>
      <c r="N309" s="6">
        <v>5</v>
      </c>
    </row>
    <row r="310" spans="1:14" x14ac:dyDescent="0.25">
      <c r="A310" s="6">
        <v>10029</v>
      </c>
      <c r="B310" s="6">
        <v>1191</v>
      </c>
      <c r="C310" s="11">
        <v>45061</v>
      </c>
      <c r="D310" s="11">
        <v>45067</v>
      </c>
      <c r="E310" s="6" t="s">
        <v>109</v>
      </c>
      <c r="F310" s="6" t="s">
        <v>92</v>
      </c>
      <c r="G310" s="6" t="s">
        <v>80</v>
      </c>
      <c r="H310" s="6" t="s">
        <v>81</v>
      </c>
      <c r="I310" s="6" t="s">
        <v>89</v>
      </c>
      <c r="J310" s="6" t="s">
        <v>90</v>
      </c>
      <c r="K310" s="6" t="s">
        <v>96</v>
      </c>
      <c r="L310" s="6">
        <v>3</v>
      </c>
      <c r="M310" s="6">
        <v>759.47</v>
      </c>
      <c r="N310" s="6">
        <v>15</v>
      </c>
    </row>
    <row r="311" spans="1:14" x14ac:dyDescent="0.25">
      <c r="A311" s="6">
        <v>10092</v>
      </c>
      <c r="B311" s="6">
        <v>1389</v>
      </c>
      <c r="C311" s="11">
        <v>45240</v>
      </c>
      <c r="D311" s="11">
        <v>45246</v>
      </c>
      <c r="E311" s="6" t="s">
        <v>109</v>
      </c>
      <c r="F311" s="6" t="s">
        <v>101</v>
      </c>
      <c r="G311" s="6" t="s">
        <v>93</v>
      </c>
      <c r="H311" s="6" t="s">
        <v>81</v>
      </c>
      <c r="I311" s="6" t="s">
        <v>112</v>
      </c>
      <c r="J311" s="6" t="s">
        <v>113</v>
      </c>
      <c r="K311" s="6" t="s">
        <v>96</v>
      </c>
      <c r="L311" s="6">
        <v>3</v>
      </c>
      <c r="M311" s="6">
        <v>343.33</v>
      </c>
      <c r="N311" s="6">
        <v>5</v>
      </c>
    </row>
    <row r="312" spans="1:14" x14ac:dyDescent="0.25">
      <c r="A312" s="6">
        <v>10099</v>
      </c>
      <c r="B312" s="6">
        <v>1401</v>
      </c>
      <c r="C312" s="11">
        <v>45001</v>
      </c>
      <c r="D312" s="11">
        <v>45009</v>
      </c>
      <c r="E312" s="6" t="s">
        <v>109</v>
      </c>
      <c r="F312" s="6" t="s">
        <v>101</v>
      </c>
      <c r="G312" s="6" t="s">
        <v>80</v>
      </c>
      <c r="H312" s="6" t="s">
        <v>105</v>
      </c>
      <c r="I312" s="6" t="s">
        <v>115</v>
      </c>
      <c r="J312" s="6" t="s">
        <v>116</v>
      </c>
      <c r="K312" s="6" t="s">
        <v>91</v>
      </c>
      <c r="L312" s="6">
        <v>3</v>
      </c>
      <c r="M312" s="6">
        <v>315.75</v>
      </c>
      <c r="N312" s="6">
        <v>20</v>
      </c>
    </row>
    <row r="313" spans="1:14" x14ac:dyDescent="0.25">
      <c r="A313" s="6">
        <v>10106</v>
      </c>
      <c r="B313" s="6">
        <v>1269</v>
      </c>
      <c r="C313" s="11">
        <v>45112</v>
      </c>
      <c r="D313" s="11">
        <v>45113</v>
      </c>
      <c r="E313" s="6" t="s">
        <v>109</v>
      </c>
      <c r="F313" s="6" t="s">
        <v>86</v>
      </c>
      <c r="G313" s="6" t="s">
        <v>93</v>
      </c>
      <c r="H313" s="6" t="s">
        <v>88</v>
      </c>
      <c r="I313" s="6" t="s">
        <v>112</v>
      </c>
      <c r="J313" s="6" t="s">
        <v>126</v>
      </c>
      <c r="K313" s="6" t="s">
        <v>110</v>
      </c>
      <c r="L313" s="6">
        <v>3</v>
      </c>
      <c r="M313" s="6">
        <v>3781.22</v>
      </c>
      <c r="N313" s="6">
        <v>5</v>
      </c>
    </row>
    <row r="314" spans="1:14" x14ac:dyDescent="0.25">
      <c r="A314" s="6">
        <v>10351</v>
      </c>
      <c r="B314" s="6">
        <v>1778</v>
      </c>
      <c r="C314" s="11">
        <v>44970</v>
      </c>
      <c r="D314" s="11">
        <v>44972</v>
      </c>
      <c r="E314" s="6" t="s">
        <v>109</v>
      </c>
      <c r="F314" s="6" t="s">
        <v>79</v>
      </c>
      <c r="G314" s="6" t="s">
        <v>93</v>
      </c>
      <c r="H314" s="6" t="s">
        <v>98</v>
      </c>
      <c r="I314" s="6" t="s">
        <v>94</v>
      </c>
      <c r="J314" s="6" t="s">
        <v>95</v>
      </c>
      <c r="K314" s="6" t="s">
        <v>108</v>
      </c>
      <c r="L314" s="6">
        <v>3</v>
      </c>
      <c r="M314" s="6">
        <v>1923.58</v>
      </c>
      <c r="N314" s="6">
        <v>15</v>
      </c>
    </row>
    <row r="315" spans="1:14" x14ac:dyDescent="0.25">
      <c r="A315" s="6">
        <v>10411</v>
      </c>
      <c r="B315" s="6">
        <v>1162</v>
      </c>
      <c r="C315" s="11">
        <v>44985</v>
      </c>
      <c r="D315" s="11">
        <v>44993</v>
      </c>
      <c r="E315" s="6" t="s">
        <v>109</v>
      </c>
      <c r="F315" s="6" t="s">
        <v>79</v>
      </c>
      <c r="G315" s="6" t="s">
        <v>93</v>
      </c>
      <c r="H315" s="6" t="s">
        <v>88</v>
      </c>
      <c r="I315" s="6" t="s">
        <v>82</v>
      </c>
      <c r="J315" s="6" t="s">
        <v>106</v>
      </c>
      <c r="K315" s="6" t="s">
        <v>96</v>
      </c>
      <c r="L315" s="6">
        <v>3</v>
      </c>
      <c r="M315" s="6">
        <v>2165.7199999999998</v>
      </c>
      <c r="N315" s="6">
        <v>5</v>
      </c>
    </row>
    <row r="316" spans="1:14" x14ac:dyDescent="0.25">
      <c r="A316" s="6">
        <v>10020</v>
      </c>
      <c r="B316" s="6">
        <v>1130</v>
      </c>
      <c r="C316" s="11">
        <v>45194</v>
      </c>
      <c r="D316" s="11">
        <v>45203</v>
      </c>
      <c r="E316" s="6" t="s">
        <v>109</v>
      </c>
      <c r="F316" s="6" t="s">
        <v>101</v>
      </c>
      <c r="G316" s="6" t="s">
        <v>80</v>
      </c>
      <c r="H316" s="6" t="s">
        <v>81</v>
      </c>
      <c r="I316" s="6" t="s">
        <v>112</v>
      </c>
      <c r="J316" s="6" t="s">
        <v>114</v>
      </c>
      <c r="K316" s="6" t="s">
        <v>84</v>
      </c>
      <c r="L316" s="6">
        <v>2</v>
      </c>
      <c r="M316" s="6">
        <v>3959.31</v>
      </c>
      <c r="N316" s="6">
        <v>5</v>
      </c>
    </row>
    <row r="317" spans="1:14" x14ac:dyDescent="0.25">
      <c r="A317" s="6">
        <v>10139</v>
      </c>
      <c r="B317" s="6">
        <v>1647</v>
      </c>
      <c r="C317" s="11">
        <v>45084</v>
      </c>
      <c r="D317" s="11">
        <v>45087</v>
      </c>
      <c r="E317" s="6" t="s">
        <v>109</v>
      </c>
      <c r="F317" s="6" t="s">
        <v>86</v>
      </c>
      <c r="G317" s="6" t="s">
        <v>80</v>
      </c>
      <c r="H317" s="6" t="s">
        <v>105</v>
      </c>
      <c r="I317" s="6" t="s">
        <v>115</v>
      </c>
      <c r="J317" s="6" t="s">
        <v>116</v>
      </c>
      <c r="K317" s="6" t="s">
        <v>108</v>
      </c>
      <c r="L317" s="6">
        <v>2</v>
      </c>
      <c r="M317" s="6">
        <v>402.91</v>
      </c>
      <c r="N317" s="6">
        <v>10</v>
      </c>
    </row>
    <row r="318" spans="1:14" x14ac:dyDescent="0.25">
      <c r="A318" s="6">
        <v>10305</v>
      </c>
      <c r="B318" s="6">
        <v>1438</v>
      </c>
      <c r="C318" s="11">
        <v>44991</v>
      </c>
      <c r="D318" s="11">
        <v>44993</v>
      </c>
      <c r="E318" s="6" t="s">
        <v>109</v>
      </c>
      <c r="F318" s="6" t="s">
        <v>104</v>
      </c>
      <c r="G318" s="6" t="s">
        <v>80</v>
      </c>
      <c r="H318" s="6" t="s">
        <v>98</v>
      </c>
      <c r="I318" s="6" t="s">
        <v>94</v>
      </c>
      <c r="J318" s="6" t="s">
        <v>111</v>
      </c>
      <c r="K318" s="6" t="s">
        <v>84</v>
      </c>
      <c r="L318" s="6">
        <v>2</v>
      </c>
      <c r="M318" s="6">
        <v>3256.02</v>
      </c>
      <c r="N318" s="6">
        <v>20</v>
      </c>
    </row>
    <row r="319" spans="1:14" x14ac:dyDescent="0.25">
      <c r="A319" s="6">
        <v>10352</v>
      </c>
      <c r="B319" s="6">
        <v>1987</v>
      </c>
      <c r="C319" s="11">
        <v>45023</v>
      </c>
      <c r="D319" s="11">
        <v>45026</v>
      </c>
      <c r="E319" s="6" t="s">
        <v>109</v>
      </c>
      <c r="F319" s="6" t="s">
        <v>86</v>
      </c>
      <c r="G319" s="6" t="s">
        <v>93</v>
      </c>
      <c r="H319" s="6" t="s">
        <v>81</v>
      </c>
      <c r="I319" s="6" t="s">
        <v>89</v>
      </c>
      <c r="J319" s="6" t="s">
        <v>99</v>
      </c>
      <c r="K319" s="6" t="s">
        <v>108</v>
      </c>
      <c r="L319" s="6">
        <v>2</v>
      </c>
      <c r="M319" s="6">
        <v>2071.04</v>
      </c>
      <c r="N319" s="6">
        <v>20</v>
      </c>
    </row>
    <row r="320" spans="1:14" x14ac:dyDescent="0.25">
      <c r="A320" s="6">
        <v>10030</v>
      </c>
      <c r="B320" s="6">
        <v>1955</v>
      </c>
      <c r="C320" s="11">
        <v>45077</v>
      </c>
      <c r="D320" s="11">
        <v>45082</v>
      </c>
      <c r="E320" s="6" t="s">
        <v>109</v>
      </c>
      <c r="F320" s="6" t="s">
        <v>86</v>
      </c>
      <c r="G320" s="6" t="s">
        <v>93</v>
      </c>
      <c r="H320" s="6" t="s">
        <v>98</v>
      </c>
      <c r="I320" s="6" t="s">
        <v>89</v>
      </c>
      <c r="J320" s="6" t="s">
        <v>124</v>
      </c>
      <c r="K320" s="6" t="s">
        <v>108</v>
      </c>
      <c r="L320" s="6">
        <v>1</v>
      </c>
      <c r="M320" s="6">
        <v>349.38</v>
      </c>
      <c r="N320" s="6">
        <v>10</v>
      </c>
    </row>
    <row r="321" spans="1:14" x14ac:dyDescent="0.25">
      <c r="A321" s="6">
        <v>10085</v>
      </c>
      <c r="B321" s="6">
        <v>1205</v>
      </c>
      <c r="C321" s="11">
        <v>45145</v>
      </c>
      <c r="D321" s="11">
        <v>45148</v>
      </c>
      <c r="E321" s="6" t="s">
        <v>109</v>
      </c>
      <c r="F321" s="6" t="s">
        <v>79</v>
      </c>
      <c r="G321" s="6" t="s">
        <v>93</v>
      </c>
      <c r="H321" s="6" t="s">
        <v>81</v>
      </c>
      <c r="I321" s="6" t="s">
        <v>112</v>
      </c>
      <c r="J321" s="6" t="s">
        <v>113</v>
      </c>
      <c r="K321" s="6" t="s">
        <v>91</v>
      </c>
      <c r="L321" s="6">
        <v>1</v>
      </c>
      <c r="M321" s="6">
        <v>2883.94</v>
      </c>
      <c r="N321" s="6">
        <v>20</v>
      </c>
    </row>
    <row r="322" spans="1:14" x14ac:dyDescent="0.25">
      <c r="A322" s="6">
        <v>10249</v>
      </c>
      <c r="B322" s="6">
        <v>1709</v>
      </c>
      <c r="C322" s="11">
        <v>45255</v>
      </c>
      <c r="D322" s="11">
        <v>45263</v>
      </c>
      <c r="E322" s="6" t="s">
        <v>109</v>
      </c>
      <c r="F322" s="6" t="s">
        <v>104</v>
      </c>
      <c r="G322" s="6" t="s">
        <v>80</v>
      </c>
      <c r="H322" s="6" t="s">
        <v>81</v>
      </c>
      <c r="I322" s="6" t="s">
        <v>94</v>
      </c>
      <c r="J322" s="6" t="s">
        <v>128</v>
      </c>
      <c r="K322" s="6" t="s">
        <v>108</v>
      </c>
      <c r="L322" s="6">
        <v>1</v>
      </c>
      <c r="M322" s="6">
        <v>3942.92</v>
      </c>
      <c r="N322" s="6">
        <v>0</v>
      </c>
    </row>
    <row r="323" spans="1:14" x14ac:dyDescent="0.25">
      <c r="A323" s="6">
        <v>10306</v>
      </c>
      <c r="B323" s="6">
        <v>1202</v>
      </c>
      <c r="C323" s="11">
        <v>45256</v>
      </c>
      <c r="D323" s="11">
        <v>45264</v>
      </c>
      <c r="E323" s="6" t="s">
        <v>109</v>
      </c>
      <c r="F323" s="6" t="s">
        <v>92</v>
      </c>
      <c r="G323" s="6" t="s">
        <v>93</v>
      </c>
      <c r="H323" s="6" t="s">
        <v>105</v>
      </c>
      <c r="I323" s="6" t="s">
        <v>120</v>
      </c>
      <c r="J323" s="6" t="s">
        <v>125</v>
      </c>
      <c r="K323" s="6" t="s">
        <v>91</v>
      </c>
      <c r="L323" s="6">
        <v>1</v>
      </c>
      <c r="M323" s="6">
        <v>3391.76</v>
      </c>
      <c r="N323" s="6">
        <v>20</v>
      </c>
    </row>
    <row r="324" spans="1:14" x14ac:dyDescent="0.25">
      <c r="A324" s="6">
        <v>10312</v>
      </c>
      <c r="B324" s="6">
        <v>1279</v>
      </c>
      <c r="C324" s="11">
        <v>44983</v>
      </c>
      <c r="D324" s="11">
        <v>44990</v>
      </c>
      <c r="E324" s="6" t="s">
        <v>109</v>
      </c>
      <c r="F324" s="6" t="s">
        <v>101</v>
      </c>
      <c r="G324" s="6" t="s">
        <v>93</v>
      </c>
      <c r="H324" s="6" t="s">
        <v>81</v>
      </c>
      <c r="I324" s="6" t="s">
        <v>115</v>
      </c>
      <c r="J324" s="6" t="s">
        <v>119</v>
      </c>
      <c r="K324" s="6" t="s">
        <v>96</v>
      </c>
      <c r="L324" s="6">
        <v>1</v>
      </c>
      <c r="M324" s="6">
        <v>2588.64</v>
      </c>
      <c r="N324" s="6">
        <v>0</v>
      </c>
    </row>
    <row r="325" spans="1:14" x14ac:dyDescent="0.25">
      <c r="A325" s="6">
        <v>10414</v>
      </c>
      <c r="B325" s="6">
        <v>1680</v>
      </c>
      <c r="C325" s="11">
        <v>45209</v>
      </c>
      <c r="D325" s="11">
        <v>45212</v>
      </c>
      <c r="E325" s="6" t="s">
        <v>109</v>
      </c>
      <c r="F325" s="6" t="s">
        <v>117</v>
      </c>
      <c r="G325" s="6" t="s">
        <v>93</v>
      </c>
      <c r="H325" s="6" t="s">
        <v>105</v>
      </c>
      <c r="I325" s="6" t="s">
        <v>89</v>
      </c>
      <c r="J325" s="6" t="s">
        <v>99</v>
      </c>
      <c r="K325" s="6" t="s">
        <v>108</v>
      </c>
      <c r="L325" s="6">
        <v>1</v>
      </c>
      <c r="M325" s="6">
        <v>1219.7</v>
      </c>
      <c r="N325" s="6">
        <v>5</v>
      </c>
    </row>
    <row r="326" spans="1:14" x14ac:dyDescent="0.25">
      <c r="A326" s="6">
        <v>10452</v>
      </c>
      <c r="B326" s="6">
        <v>1283</v>
      </c>
      <c r="C326" s="11">
        <v>45076</v>
      </c>
      <c r="D326" s="11">
        <v>45082</v>
      </c>
      <c r="E326" s="6" t="s">
        <v>109</v>
      </c>
      <c r="F326" s="6" t="s">
        <v>86</v>
      </c>
      <c r="G326" s="6" t="s">
        <v>87</v>
      </c>
      <c r="H326" s="6" t="s">
        <v>105</v>
      </c>
      <c r="I326" s="6" t="s">
        <v>112</v>
      </c>
      <c r="J326" s="6" t="s">
        <v>130</v>
      </c>
      <c r="K326" s="6" t="s">
        <v>91</v>
      </c>
      <c r="L326" s="6">
        <v>1</v>
      </c>
      <c r="M326" s="6">
        <v>1574.59</v>
      </c>
      <c r="N326" s="6">
        <v>5</v>
      </c>
    </row>
    <row r="327" spans="1:14" x14ac:dyDescent="0.25">
      <c r="A327" s="6">
        <v>10464</v>
      </c>
      <c r="B327" s="6">
        <v>1511</v>
      </c>
      <c r="C327" s="11">
        <v>45174</v>
      </c>
      <c r="D327" s="11">
        <v>45176</v>
      </c>
      <c r="E327" s="6" t="s">
        <v>109</v>
      </c>
      <c r="F327" s="6" t="s">
        <v>86</v>
      </c>
      <c r="G327" s="6" t="s">
        <v>93</v>
      </c>
      <c r="H327" s="6" t="s">
        <v>105</v>
      </c>
      <c r="I327" s="6" t="s">
        <v>94</v>
      </c>
      <c r="J327" s="6" t="s">
        <v>128</v>
      </c>
      <c r="K327" s="6" t="s">
        <v>110</v>
      </c>
      <c r="L327" s="6">
        <v>1</v>
      </c>
      <c r="M327" s="6">
        <v>559.4</v>
      </c>
      <c r="N327" s="6">
        <v>20</v>
      </c>
    </row>
    <row r="328" spans="1:14" x14ac:dyDescent="0.25">
      <c r="A328" s="6">
        <v>10002</v>
      </c>
      <c r="B328" s="6">
        <v>1435</v>
      </c>
      <c r="C328" s="11">
        <v>45199</v>
      </c>
      <c r="D328" s="11">
        <v>45203</v>
      </c>
      <c r="E328" s="6" t="s">
        <v>85</v>
      </c>
      <c r="F328" s="6" t="s">
        <v>86</v>
      </c>
      <c r="G328" s="6" t="s">
        <v>87</v>
      </c>
      <c r="H328" s="6" t="s">
        <v>88</v>
      </c>
      <c r="I328" s="6" t="s">
        <v>89</v>
      </c>
      <c r="J328" s="6" t="s">
        <v>90</v>
      </c>
      <c r="K328" s="6" t="s">
        <v>91</v>
      </c>
      <c r="L328" s="6">
        <v>9</v>
      </c>
      <c r="M328" s="6">
        <v>2525.23</v>
      </c>
      <c r="N328" s="6">
        <v>5</v>
      </c>
    </row>
    <row r="329" spans="1:14" x14ac:dyDescent="0.25">
      <c r="A329" s="6">
        <v>10126</v>
      </c>
      <c r="B329" s="6">
        <v>1187</v>
      </c>
      <c r="C329" s="11">
        <v>44997</v>
      </c>
      <c r="D329" s="11">
        <v>45002</v>
      </c>
      <c r="E329" s="6" t="s">
        <v>85</v>
      </c>
      <c r="F329" s="6" t="s">
        <v>117</v>
      </c>
      <c r="G329" s="6" t="s">
        <v>87</v>
      </c>
      <c r="H329" s="6" t="s">
        <v>81</v>
      </c>
      <c r="I329" s="6" t="s">
        <v>94</v>
      </c>
      <c r="J329" s="6" t="s">
        <v>111</v>
      </c>
      <c r="K329" s="6" t="s">
        <v>91</v>
      </c>
      <c r="L329" s="6">
        <v>9</v>
      </c>
      <c r="M329" s="6">
        <v>3308.64</v>
      </c>
      <c r="N329" s="6">
        <v>5</v>
      </c>
    </row>
    <row r="330" spans="1:14" x14ac:dyDescent="0.25">
      <c r="A330" s="6">
        <v>10407</v>
      </c>
      <c r="B330" s="6">
        <v>1877</v>
      </c>
      <c r="C330" s="11">
        <v>45088</v>
      </c>
      <c r="D330" s="11">
        <v>45090</v>
      </c>
      <c r="E330" s="6" t="s">
        <v>85</v>
      </c>
      <c r="F330" s="6" t="s">
        <v>86</v>
      </c>
      <c r="G330" s="6" t="s">
        <v>87</v>
      </c>
      <c r="H330" s="6" t="s">
        <v>88</v>
      </c>
      <c r="I330" s="6" t="s">
        <v>115</v>
      </c>
      <c r="J330" s="6" t="s">
        <v>116</v>
      </c>
      <c r="K330" s="6" t="s">
        <v>96</v>
      </c>
      <c r="L330" s="6">
        <v>9</v>
      </c>
      <c r="M330" s="6">
        <v>3216.56</v>
      </c>
      <c r="N330" s="6">
        <v>20</v>
      </c>
    </row>
    <row r="331" spans="1:14" x14ac:dyDescent="0.25">
      <c r="A331" s="6">
        <v>10468</v>
      </c>
      <c r="B331" s="6">
        <v>1157</v>
      </c>
      <c r="C331" s="11">
        <v>45074</v>
      </c>
      <c r="D331" s="11">
        <v>45082</v>
      </c>
      <c r="E331" s="6" t="s">
        <v>85</v>
      </c>
      <c r="F331" s="6" t="s">
        <v>79</v>
      </c>
      <c r="G331" s="6" t="s">
        <v>80</v>
      </c>
      <c r="H331" s="6" t="s">
        <v>81</v>
      </c>
      <c r="I331" s="6" t="s">
        <v>120</v>
      </c>
      <c r="J331" s="6" t="s">
        <v>122</v>
      </c>
      <c r="K331" s="6" t="s">
        <v>108</v>
      </c>
      <c r="L331" s="6">
        <v>9</v>
      </c>
      <c r="M331" s="6">
        <v>1890.53</v>
      </c>
      <c r="N331" s="6">
        <v>15</v>
      </c>
    </row>
    <row r="332" spans="1:14" x14ac:dyDescent="0.25">
      <c r="A332" s="6">
        <v>10016</v>
      </c>
      <c r="B332" s="6">
        <v>1372</v>
      </c>
      <c r="C332" s="11">
        <v>44958</v>
      </c>
      <c r="D332" s="11">
        <v>44961</v>
      </c>
      <c r="E332" s="6" t="s">
        <v>85</v>
      </c>
      <c r="F332" s="6" t="s">
        <v>92</v>
      </c>
      <c r="G332" s="6" t="s">
        <v>80</v>
      </c>
      <c r="H332" s="6" t="s">
        <v>105</v>
      </c>
      <c r="I332" s="6" t="s">
        <v>94</v>
      </c>
      <c r="J332" s="6" t="s">
        <v>102</v>
      </c>
      <c r="K332" s="6" t="s">
        <v>84</v>
      </c>
      <c r="L332" s="6">
        <v>8</v>
      </c>
      <c r="M332" s="6">
        <v>595.45000000000005</v>
      </c>
      <c r="N332" s="6">
        <v>5</v>
      </c>
    </row>
    <row r="333" spans="1:14" x14ac:dyDescent="0.25">
      <c r="A333" s="6">
        <v>10149</v>
      </c>
      <c r="B333" s="6">
        <v>1378</v>
      </c>
      <c r="C333" s="11">
        <v>45002</v>
      </c>
      <c r="D333" s="11">
        <v>45010</v>
      </c>
      <c r="E333" s="6" t="s">
        <v>85</v>
      </c>
      <c r="F333" s="6" t="s">
        <v>86</v>
      </c>
      <c r="G333" s="6" t="s">
        <v>93</v>
      </c>
      <c r="H333" s="6" t="s">
        <v>105</v>
      </c>
      <c r="I333" s="6" t="s">
        <v>120</v>
      </c>
      <c r="J333" s="6" t="s">
        <v>125</v>
      </c>
      <c r="K333" s="6" t="s">
        <v>96</v>
      </c>
      <c r="L333" s="6">
        <v>8</v>
      </c>
      <c r="M333" s="6">
        <v>2938.3</v>
      </c>
      <c r="N333" s="6">
        <v>15</v>
      </c>
    </row>
    <row r="334" spans="1:14" x14ac:dyDescent="0.25">
      <c r="A334" s="6">
        <v>10158</v>
      </c>
      <c r="B334" s="6">
        <v>1779</v>
      </c>
      <c r="C334" s="11">
        <v>45276</v>
      </c>
      <c r="D334" s="11">
        <v>45277</v>
      </c>
      <c r="E334" s="6" t="s">
        <v>85</v>
      </c>
      <c r="F334" s="6" t="s">
        <v>104</v>
      </c>
      <c r="G334" s="6" t="s">
        <v>87</v>
      </c>
      <c r="H334" s="6" t="s">
        <v>81</v>
      </c>
      <c r="I334" s="6" t="s">
        <v>112</v>
      </c>
      <c r="J334" s="6" t="s">
        <v>126</v>
      </c>
      <c r="K334" s="6" t="s">
        <v>91</v>
      </c>
      <c r="L334" s="6">
        <v>8</v>
      </c>
      <c r="M334" s="6">
        <v>3346.08</v>
      </c>
      <c r="N334" s="6">
        <v>15</v>
      </c>
    </row>
    <row r="335" spans="1:14" x14ac:dyDescent="0.25">
      <c r="A335" s="6">
        <v>10369</v>
      </c>
      <c r="B335" s="6">
        <v>1896</v>
      </c>
      <c r="C335" s="11">
        <v>44998</v>
      </c>
      <c r="D335" s="11">
        <v>45000</v>
      </c>
      <c r="E335" s="6" t="s">
        <v>85</v>
      </c>
      <c r="F335" s="6" t="s">
        <v>86</v>
      </c>
      <c r="G335" s="6" t="s">
        <v>80</v>
      </c>
      <c r="H335" s="6" t="s">
        <v>98</v>
      </c>
      <c r="I335" s="6" t="s">
        <v>89</v>
      </c>
      <c r="J335" s="6" t="s">
        <v>99</v>
      </c>
      <c r="K335" s="6" t="s">
        <v>110</v>
      </c>
      <c r="L335" s="6">
        <v>8</v>
      </c>
      <c r="M335" s="6">
        <v>3277.19</v>
      </c>
      <c r="N335" s="6">
        <v>15</v>
      </c>
    </row>
    <row r="336" spans="1:14" x14ac:dyDescent="0.25">
      <c r="A336" s="6">
        <v>10033</v>
      </c>
      <c r="B336" s="6">
        <v>1459</v>
      </c>
      <c r="C336" s="11">
        <v>45129</v>
      </c>
      <c r="D336" s="11">
        <v>45130</v>
      </c>
      <c r="E336" s="6" t="s">
        <v>85</v>
      </c>
      <c r="F336" s="6" t="s">
        <v>101</v>
      </c>
      <c r="G336" s="6" t="s">
        <v>80</v>
      </c>
      <c r="H336" s="6" t="s">
        <v>107</v>
      </c>
      <c r="I336" s="6" t="s">
        <v>120</v>
      </c>
      <c r="J336" s="6" t="s">
        <v>122</v>
      </c>
      <c r="K336" s="6" t="s">
        <v>108</v>
      </c>
      <c r="L336" s="6">
        <v>7</v>
      </c>
      <c r="M336" s="6">
        <v>3363.18</v>
      </c>
      <c r="N336" s="6">
        <v>20</v>
      </c>
    </row>
    <row r="337" spans="1:14" x14ac:dyDescent="0.25">
      <c r="A337" s="6">
        <v>10038</v>
      </c>
      <c r="B337" s="6">
        <v>1856</v>
      </c>
      <c r="C337" s="11">
        <v>45271</v>
      </c>
      <c r="D337" s="11">
        <v>45280</v>
      </c>
      <c r="E337" s="6" t="s">
        <v>85</v>
      </c>
      <c r="F337" s="6" t="s">
        <v>92</v>
      </c>
      <c r="G337" s="6" t="s">
        <v>87</v>
      </c>
      <c r="H337" s="6" t="s">
        <v>105</v>
      </c>
      <c r="I337" s="6" t="s">
        <v>112</v>
      </c>
      <c r="J337" s="6" t="s">
        <v>126</v>
      </c>
      <c r="K337" s="6" t="s">
        <v>110</v>
      </c>
      <c r="L337" s="6">
        <v>7</v>
      </c>
      <c r="M337" s="6">
        <v>687.46</v>
      </c>
      <c r="N337" s="6">
        <v>20</v>
      </c>
    </row>
    <row r="338" spans="1:14" x14ac:dyDescent="0.25">
      <c r="A338" s="6">
        <v>10123</v>
      </c>
      <c r="B338" s="6">
        <v>1921</v>
      </c>
      <c r="C338" s="11">
        <v>44946</v>
      </c>
      <c r="D338" s="11">
        <v>44950</v>
      </c>
      <c r="E338" s="6" t="s">
        <v>85</v>
      </c>
      <c r="F338" s="6" t="s">
        <v>79</v>
      </c>
      <c r="G338" s="6" t="s">
        <v>87</v>
      </c>
      <c r="H338" s="6" t="s">
        <v>107</v>
      </c>
      <c r="I338" s="6" t="s">
        <v>89</v>
      </c>
      <c r="J338" s="6" t="s">
        <v>131</v>
      </c>
      <c r="K338" s="6" t="s">
        <v>110</v>
      </c>
      <c r="L338" s="6">
        <v>7</v>
      </c>
      <c r="M338" s="6">
        <v>1050.5</v>
      </c>
      <c r="N338" s="6">
        <v>20</v>
      </c>
    </row>
    <row r="339" spans="1:14" x14ac:dyDescent="0.25">
      <c r="A339" s="6">
        <v>10211</v>
      </c>
      <c r="B339" s="6">
        <v>1524</v>
      </c>
      <c r="C339" s="11">
        <v>44996</v>
      </c>
      <c r="D339" s="11">
        <v>45000</v>
      </c>
      <c r="E339" s="6" t="s">
        <v>85</v>
      </c>
      <c r="F339" s="6" t="s">
        <v>86</v>
      </c>
      <c r="G339" s="6" t="s">
        <v>87</v>
      </c>
      <c r="H339" s="6" t="s">
        <v>105</v>
      </c>
      <c r="I339" s="6" t="s">
        <v>112</v>
      </c>
      <c r="J339" s="6" t="s">
        <v>114</v>
      </c>
      <c r="K339" s="6" t="s">
        <v>84</v>
      </c>
      <c r="L339" s="6">
        <v>7</v>
      </c>
      <c r="M339" s="6">
        <v>2257.5500000000002</v>
      </c>
      <c r="N339" s="6">
        <v>10</v>
      </c>
    </row>
    <row r="340" spans="1:14" x14ac:dyDescent="0.25">
      <c r="A340" s="6">
        <v>10248</v>
      </c>
      <c r="B340" s="6">
        <v>1358</v>
      </c>
      <c r="C340" s="11">
        <v>44970</v>
      </c>
      <c r="D340" s="11">
        <v>44974</v>
      </c>
      <c r="E340" s="6" t="s">
        <v>85</v>
      </c>
      <c r="F340" s="6" t="s">
        <v>79</v>
      </c>
      <c r="G340" s="6" t="s">
        <v>93</v>
      </c>
      <c r="H340" s="6" t="s">
        <v>105</v>
      </c>
      <c r="I340" s="6" t="s">
        <v>94</v>
      </c>
      <c r="J340" s="6" t="s">
        <v>102</v>
      </c>
      <c r="K340" s="6" t="s">
        <v>84</v>
      </c>
      <c r="L340" s="6">
        <v>7</v>
      </c>
      <c r="M340" s="6">
        <v>2605.92</v>
      </c>
      <c r="N340" s="6">
        <v>20</v>
      </c>
    </row>
    <row r="341" spans="1:14" x14ac:dyDescent="0.25">
      <c r="A341" s="6">
        <v>10147</v>
      </c>
      <c r="B341" s="6">
        <v>1418</v>
      </c>
      <c r="C341" s="11">
        <v>45078</v>
      </c>
      <c r="D341" s="11">
        <v>45081</v>
      </c>
      <c r="E341" s="6" t="s">
        <v>85</v>
      </c>
      <c r="F341" s="6" t="s">
        <v>117</v>
      </c>
      <c r="G341" s="6" t="s">
        <v>87</v>
      </c>
      <c r="H341" s="6" t="s">
        <v>88</v>
      </c>
      <c r="I341" s="6" t="s">
        <v>94</v>
      </c>
      <c r="J341" s="6" t="s">
        <v>111</v>
      </c>
      <c r="K341" s="6" t="s">
        <v>84</v>
      </c>
      <c r="L341" s="6">
        <v>6</v>
      </c>
      <c r="M341" s="6">
        <v>1852.67</v>
      </c>
      <c r="N341" s="6">
        <v>5</v>
      </c>
    </row>
    <row r="342" spans="1:14" x14ac:dyDescent="0.25">
      <c r="A342" s="6">
        <v>10270</v>
      </c>
      <c r="B342" s="6">
        <v>1496</v>
      </c>
      <c r="C342" s="11">
        <v>45080</v>
      </c>
      <c r="D342" s="11">
        <v>45086</v>
      </c>
      <c r="E342" s="6" t="s">
        <v>85</v>
      </c>
      <c r="F342" s="6" t="s">
        <v>92</v>
      </c>
      <c r="G342" s="6" t="s">
        <v>87</v>
      </c>
      <c r="H342" s="6" t="s">
        <v>98</v>
      </c>
      <c r="I342" s="6" t="s">
        <v>94</v>
      </c>
      <c r="J342" s="6" t="s">
        <v>128</v>
      </c>
      <c r="K342" s="6" t="s">
        <v>108</v>
      </c>
      <c r="L342" s="6">
        <v>6</v>
      </c>
      <c r="M342" s="6">
        <v>3197.13</v>
      </c>
      <c r="N342" s="6">
        <v>10</v>
      </c>
    </row>
    <row r="343" spans="1:14" x14ac:dyDescent="0.25">
      <c r="A343" s="6">
        <v>10287</v>
      </c>
      <c r="B343" s="6">
        <v>1219</v>
      </c>
      <c r="C343" s="11">
        <v>45122</v>
      </c>
      <c r="D343" s="11">
        <v>45125</v>
      </c>
      <c r="E343" s="6" t="s">
        <v>85</v>
      </c>
      <c r="F343" s="6" t="s">
        <v>101</v>
      </c>
      <c r="G343" s="6" t="s">
        <v>87</v>
      </c>
      <c r="H343" s="6" t="s">
        <v>81</v>
      </c>
      <c r="I343" s="6" t="s">
        <v>120</v>
      </c>
      <c r="J343" s="6" t="s">
        <v>129</v>
      </c>
      <c r="K343" s="6" t="s">
        <v>84</v>
      </c>
      <c r="L343" s="6">
        <v>6</v>
      </c>
      <c r="M343" s="6">
        <v>1936.66</v>
      </c>
      <c r="N343" s="6">
        <v>0</v>
      </c>
    </row>
    <row r="344" spans="1:14" x14ac:dyDescent="0.25">
      <c r="A344" s="6">
        <v>10327</v>
      </c>
      <c r="B344" s="6">
        <v>1463</v>
      </c>
      <c r="C344" s="11">
        <v>45169</v>
      </c>
      <c r="D344" s="11">
        <v>45176</v>
      </c>
      <c r="E344" s="6" t="s">
        <v>85</v>
      </c>
      <c r="F344" s="6" t="s">
        <v>86</v>
      </c>
      <c r="G344" s="6" t="s">
        <v>80</v>
      </c>
      <c r="H344" s="6" t="s">
        <v>105</v>
      </c>
      <c r="I344" s="6" t="s">
        <v>115</v>
      </c>
      <c r="J344" s="6" t="s">
        <v>123</v>
      </c>
      <c r="K344" s="6" t="s">
        <v>110</v>
      </c>
      <c r="L344" s="6">
        <v>6</v>
      </c>
      <c r="M344" s="6">
        <v>3967.1</v>
      </c>
      <c r="N344" s="6">
        <v>0</v>
      </c>
    </row>
    <row r="345" spans="1:14" x14ac:dyDescent="0.25">
      <c r="A345" s="6">
        <v>10370</v>
      </c>
      <c r="B345" s="6">
        <v>1303</v>
      </c>
      <c r="C345" s="11">
        <v>44981</v>
      </c>
      <c r="D345" s="11">
        <v>44987</v>
      </c>
      <c r="E345" s="6" t="s">
        <v>85</v>
      </c>
      <c r="F345" s="6" t="s">
        <v>104</v>
      </c>
      <c r="G345" s="6" t="s">
        <v>93</v>
      </c>
      <c r="H345" s="6" t="s">
        <v>81</v>
      </c>
      <c r="I345" s="6" t="s">
        <v>112</v>
      </c>
      <c r="J345" s="6" t="s">
        <v>126</v>
      </c>
      <c r="K345" s="6" t="s">
        <v>91</v>
      </c>
      <c r="L345" s="6">
        <v>6</v>
      </c>
      <c r="M345" s="6">
        <v>1628.56</v>
      </c>
      <c r="N345" s="6">
        <v>0</v>
      </c>
    </row>
    <row r="346" spans="1:14" x14ac:dyDescent="0.25">
      <c r="A346" s="6">
        <v>10373</v>
      </c>
      <c r="B346" s="6">
        <v>1452</v>
      </c>
      <c r="C346" s="11">
        <v>45030</v>
      </c>
      <c r="D346" s="11">
        <v>45036</v>
      </c>
      <c r="E346" s="6" t="s">
        <v>85</v>
      </c>
      <c r="F346" s="6" t="s">
        <v>79</v>
      </c>
      <c r="G346" s="6" t="s">
        <v>87</v>
      </c>
      <c r="H346" s="6" t="s">
        <v>81</v>
      </c>
      <c r="I346" s="6" t="s">
        <v>115</v>
      </c>
      <c r="J346" s="6" t="s">
        <v>116</v>
      </c>
      <c r="K346" s="6" t="s">
        <v>84</v>
      </c>
      <c r="L346" s="6">
        <v>6</v>
      </c>
      <c r="M346" s="6">
        <v>1019.05</v>
      </c>
      <c r="N346" s="6">
        <v>0</v>
      </c>
    </row>
    <row r="347" spans="1:14" x14ac:dyDescent="0.25">
      <c r="A347" s="6">
        <v>10394</v>
      </c>
      <c r="B347" s="6">
        <v>1421</v>
      </c>
      <c r="C347" s="11">
        <v>45172</v>
      </c>
      <c r="D347" s="11">
        <v>45173</v>
      </c>
      <c r="E347" s="6" t="s">
        <v>85</v>
      </c>
      <c r="F347" s="6" t="s">
        <v>92</v>
      </c>
      <c r="G347" s="6" t="s">
        <v>80</v>
      </c>
      <c r="H347" s="6" t="s">
        <v>81</v>
      </c>
      <c r="I347" s="6" t="s">
        <v>112</v>
      </c>
      <c r="J347" s="6" t="s">
        <v>113</v>
      </c>
      <c r="K347" s="6" t="s">
        <v>110</v>
      </c>
      <c r="L347" s="6">
        <v>6</v>
      </c>
      <c r="M347" s="6">
        <v>2716.48</v>
      </c>
      <c r="N347" s="6">
        <v>0</v>
      </c>
    </row>
    <row r="348" spans="1:14" x14ac:dyDescent="0.25">
      <c r="A348" s="6">
        <v>10048</v>
      </c>
      <c r="B348" s="6">
        <v>1189</v>
      </c>
      <c r="C348" s="11">
        <v>45021</v>
      </c>
      <c r="D348" s="11">
        <v>45027</v>
      </c>
      <c r="E348" s="6" t="s">
        <v>85</v>
      </c>
      <c r="F348" s="6" t="s">
        <v>101</v>
      </c>
      <c r="G348" s="6" t="s">
        <v>87</v>
      </c>
      <c r="H348" s="6" t="s">
        <v>107</v>
      </c>
      <c r="I348" s="6" t="s">
        <v>94</v>
      </c>
      <c r="J348" s="6" t="s">
        <v>128</v>
      </c>
      <c r="K348" s="6" t="s">
        <v>91</v>
      </c>
      <c r="L348" s="6">
        <v>5</v>
      </c>
      <c r="M348" s="6">
        <v>2466.48</v>
      </c>
      <c r="N348" s="6">
        <v>5</v>
      </c>
    </row>
    <row r="349" spans="1:14" x14ac:dyDescent="0.25">
      <c r="A349" s="6">
        <v>10076</v>
      </c>
      <c r="B349" s="6">
        <v>1091</v>
      </c>
      <c r="C349" s="11">
        <v>44929</v>
      </c>
      <c r="D349" s="11">
        <v>44932</v>
      </c>
      <c r="E349" s="6" t="s">
        <v>85</v>
      </c>
      <c r="F349" s="6" t="s">
        <v>79</v>
      </c>
      <c r="G349" s="6" t="s">
        <v>93</v>
      </c>
      <c r="H349" s="6" t="s">
        <v>98</v>
      </c>
      <c r="I349" s="6" t="s">
        <v>94</v>
      </c>
      <c r="J349" s="6" t="s">
        <v>102</v>
      </c>
      <c r="K349" s="6" t="s">
        <v>96</v>
      </c>
      <c r="L349" s="6">
        <v>5</v>
      </c>
      <c r="M349" s="6">
        <v>1220.68</v>
      </c>
      <c r="N349" s="6">
        <v>20</v>
      </c>
    </row>
    <row r="350" spans="1:14" x14ac:dyDescent="0.25">
      <c r="A350" s="6">
        <v>10184</v>
      </c>
      <c r="B350" s="6">
        <v>1397</v>
      </c>
      <c r="C350" s="11">
        <v>45063</v>
      </c>
      <c r="D350" s="11">
        <v>45072</v>
      </c>
      <c r="E350" s="6" t="s">
        <v>85</v>
      </c>
      <c r="F350" s="6" t="s">
        <v>117</v>
      </c>
      <c r="G350" s="6" t="s">
        <v>80</v>
      </c>
      <c r="H350" s="6" t="s">
        <v>107</v>
      </c>
      <c r="I350" s="6" t="s">
        <v>115</v>
      </c>
      <c r="J350" s="6" t="s">
        <v>127</v>
      </c>
      <c r="K350" s="6" t="s">
        <v>84</v>
      </c>
      <c r="L350" s="6">
        <v>5</v>
      </c>
      <c r="M350" s="6">
        <v>2125.75</v>
      </c>
      <c r="N350" s="6">
        <v>15</v>
      </c>
    </row>
    <row r="351" spans="1:14" x14ac:dyDescent="0.25">
      <c r="A351" s="6">
        <v>10384</v>
      </c>
      <c r="B351" s="6">
        <v>1151</v>
      </c>
      <c r="C351" s="11">
        <v>45289</v>
      </c>
      <c r="D351" s="11">
        <v>45297</v>
      </c>
      <c r="E351" s="6" t="s">
        <v>85</v>
      </c>
      <c r="F351" s="6" t="s">
        <v>79</v>
      </c>
      <c r="G351" s="6" t="s">
        <v>87</v>
      </c>
      <c r="H351" s="6" t="s">
        <v>105</v>
      </c>
      <c r="I351" s="6" t="s">
        <v>82</v>
      </c>
      <c r="J351" s="6" t="s">
        <v>118</v>
      </c>
      <c r="K351" s="6" t="s">
        <v>91</v>
      </c>
      <c r="L351" s="6">
        <v>5</v>
      </c>
      <c r="M351" s="6">
        <v>1935.68</v>
      </c>
      <c r="N351" s="6">
        <v>20</v>
      </c>
    </row>
    <row r="352" spans="1:14" x14ac:dyDescent="0.25">
      <c r="A352" s="6">
        <v>10398</v>
      </c>
      <c r="B352" s="6">
        <v>1226</v>
      </c>
      <c r="C352" s="11">
        <v>44938</v>
      </c>
      <c r="D352" s="11">
        <v>44943</v>
      </c>
      <c r="E352" s="6" t="s">
        <v>85</v>
      </c>
      <c r="F352" s="6" t="s">
        <v>92</v>
      </c>
      <c r="G352" s="6" t="s">
        <v>80</v>
      </c>
      <c r="H352" s="6" t="s">
        <v>107</v>
      </c>
      <c r="I352" s="6" t="s">
        <v>112</v>
      </c>
      <c r="J352" s="6" t="s">
        <v>126</v>
      </c>
      <c r="K352" s="6" t="s">
        <v>96</v>
      </c>
      <c r="L352" s="6">
        <v>5</v>
      </c>
      <c r="M352" s="6">
        <v>3245.77</v>
      </c>
      <c r="N352" s="6">
        <v>0</v>
      </c>
    </row>
    <row r="353" spans="1:14" x14ac:dyDescent="0.25">
      <c r="A353" s="6">
        <v>10463</v>
      </c>
      <c r="B353" s="6">
        <v>1048</v>
      </c>
      <c r="C353" s="11">
        <v>44992</v>
      </c>
      <c r="D353" s="11">
        <v>45000</v>
      </c>
      <c r="E353" s="6" t="s">
        <v>85</v>
      </c>
      <c r="F353" s="6" t="s">
        <v>79</v>
      </c>
      <c r="G353" s="6" t="s">
        <v>87</v>
      </c>
      <c r="H353" s="6" t="s">
        <v>98</v>
      </c>
      <c r="I353" s="6" t="s">
        <v>89</v>
      </c>
      <c r="J353" s="6" t="s">
        <v>99</v>
      </c>
      <c r="K353" s="6" t="s">
        <v>110</v>
      </c>
      <c r="L353" s="6">
        <v>5</v>
      </c>
      <c r="M353" s="6">
        <v>2072.3200000000002</v>
      </c>
      <c r="N353" s="6">
        <v>15</v>
      </c>
    </row>
    <row r="354" spans="1:14" x14ac:dyDescent="0.25">
      <c r="A354" s="6">
        <v>10094</v>
      </c>
      <c r="B354" s="6">
        <v>1105</v>
      </c>
      <c r="C354" s="11">
        <v>44938</v>
      </c>
      <c r="D354" s="11">
        <v>44946</v>
      </c>
      <c r="E354" s="6" t="s">
        <v>85</v>
      </c>
      <c r="F354" s="6" t="s">
        <v>79</v>
      </c>
      <c r="G354" s="6" t="s">
        <v>93</v>
      </c>
      <c r="H354" s="6" t="s">
        <v>88</v>
      </c>
      <c r="I354" s="6" t="s">
        <v>115</v>
      </c>
      <c r="J354" s="6" t="s">
        <v>123</v>
      </c>
      <c r="K354" s="6" t="s">
        <v>84</v>
      </c>
      <c r="L354" s="6">
        <v>4</v>
      </c>
      <c r="M354" s="6">
        <v>1611.52</v>
      </c>
      <c r="N354" s="6">
        <v>10</v>
      </c>
    </row>
    <row r="355" spans="1:14" x14ac:dyDescent="0.25">
      <c r="A355" s="6">
        <v>10160</v>
      </c>
      <c r="B355" s="6">
        <v>1032</v>
      </c>
      <c r="C355" s="11">
        <v>45039</v>
      </c>
      <c r="D355" s="11">
        <v>45041</v>
      </c>
      <c r="E355" s="6" t="s">
        <v>85</v>
      </c>
      <c r="F355" s="6" t="s">
        <v>101</v>
      </c>
      <c r="G355" s="6" t="s">
        <v>80</v>
      </c>
      <c r="H355" s="6" t="s">
        <v>107</v>
      </c>
      <c r="I355" s="6" t="s">
        <v>94</v>
      </c>
      <c r="J355" s="6" t="s">
        <v>111</v>
      </c>
      <c r="K355" s="6" t="s">
        <v>110</v>
      </c>
      <c r="L355" s="6">
        <v>4</v>
      </c>
      <c r="M355" s="6">
        <v>1322.72</v>
      </c>
      <c r="N355" s="6">
        <v>5</v>
      </c>
    </row>
    <row r="356" spans="1:14" x14ac:dyDescent="0.25">
      <c r="A356" s="6">
        <v>10344</v>
      </c>
      <c r="B356" s="6">
        <v>1928</v>
      </c>
      <c r="C356" s="11">
        <v>45094</v>
      </c>
      <c r="D356" s="11">
        <v>45101</v>
      </c>
      <c r="E356" s="6" t="s">
        <v>85</v>
      </c>
      <c r="F356" s="6" t="s">
        <v>92</v>
      </c>
      <c r="G356" s="6" t="s">
        <v>93</v>
      </c>
      <c r="H356" s="6" t="s">
        <v>107</v>
      </c>
      <c r="I356" s="6" t="s">
        <v>115</v>
      </c>
      <c r="J356" s="6" t="s">
        <v>119</v>
      </c>
      <c r="K356" s="6" t="s">
        <v>96</v>
      </c>
      <c r="L356" s="6">
        <v>4</v>
      </c>
      <c r="M356" s="6">
        <v>2785.81</v>
      </c>
      <c r="N356" s="6">
        <v>20</v>
      </c>
    </row>
    <row r="357" spans="1:14" x14ac:dyDescent="0.25">
      <c r="A357" s="6">
        <v>10052</v>
      </c>
      <c r="B357" s="6">
        <v>1562</v>
      </c>
      <c r="C357" s="11">
        <v>45097</v>
      </c>
      <c r="D357" s="11">
        <v>45098</v>
      </c>
      <c r="E357" s="6" t="s">
        <v>85</v>
      </c>
      <c r="F357" s="6" t="s">
        <v>117</v>
      </c>
      <c r="G357" s="6" t="s">
        <v>87</v>
      </c>
      <c r="H357" s="6" t="s">
        <v>98</v>
      </c>
      <c r="I357" s="6" t="s">
        <v>120</v>
      </c>
      <c r="J357" s="6" t="s">
        <v>125</v>
      </c>
      <c r="K357" s="6" t="s">
        <v>96</v>
      </c>
      <c r="L357" s="6">
        <v>3</v>
      </c>
      <c r="M357" s="6">
        <v>2668.52</v>
      </c>
      <c r="N357" s="6">
        <v>5</v>
      </c>
    </row>
    <row r="358" spans="1:14" x14ac:dyDescent="0.25">
      <c r="A358" s="6">
        <v>10077</v>
      </c>
      <c r="B358" s="6">
        <v>1366</v>
      </c>
      <c r="C358" s="11">
        <v>45030</v>
      </c>
      <c r="D358" s="11">
        <v>45034</v>
      </c>
      <c r="E358" s="6" t="s">
        <v>85</v>
      </c>
      <c r="F358" s="6" t="s">
        <v>117</v>
      </c>
      <c r="G358" s="6" t="s">
        <v>93</v>
      </c>
      <c r="H358" s="6" t="s">
        <v>88</v>
      </c>
      <c r="I358" s="6" t="s">
        <v>94</v>
      </c>
      <c r="J358" s="6" t="s">
        <v>95</v>
      </c>
      <c r="K358" s="6" t="s">
        <v>108</v>
      </c>
      <c r="L358" s="6">
        <v>3</v>
      </c>
      <c r="M358" s="6">
        <v>985.28</v>
      </c>
      <c r="N358" s="6">
        <v>10</v>
      </c>
    </row>
    <row r="359" spans="1:14" x14ac:dyDescent="0.25">
      <c r="A359" s="6">
        <v>10260</v>
      </c>
      <c r="B359" s="6">
        <v>1974</v>
      </c>
      <c r="C359" s="11">
        <v>45104</v>
      </c>
      <c r="D359" s="11">
        <v>45110</v>
      </c>
      <c r="E359" s="6" t="s">
        <v>85</v>
      </c>
      <c r="F359" s="6" t="s">
        <v>104</v>
      </c>
      <c r="G359" s="6" t="s">
        <v>80</v>
      </c>
      <c r="H359" s="6" t="s">
        <v>105</v>
      </c>
      <c r="I359" s="6" t="s">
        <v>94</v>
      </c>
      <c r="J359" s="6" t="s">
        <v>128</v>
      </c>
      <c r="K359" s="6" t="s">
        <v>91</v>
      </c>
      <c r="L359" s="6">
        <v>3</v>
      </c>
      <c r="M359" s="6">
        <v>647.32000000000005</v>
      </c>
      <c r="N359" s="6">
        <v>5</v>
      </c>
    </row>
    <row r="360" spans="1:14" x14ac:dyDescent="0.25">
      <c r="A360" s="6">
        <v>10294</v>
      </c>
      <c r="B360" s="6">
        <v>1402</v>
      </c>
      <c r="C360" s="11">
        <v>44987</v>
      </c>
      <c r="D360" s="11">
        <v>44994</v>
      </c>
      <c r="E360" s="6" t="s">
        <v>85</v>
      </c>
      <c r="F360" s="6" t="s">
        <v>79</v>
      </c>
      <c r="G360" s="6" t="s">
        <v>87</v>
      </c>
      <c r="H360" s="6" t="s">
        <v>98</v>
      </c>
      <c r="I360" s="6" t="s">
        <v>82</v>
      </c>
      <c r="J360" s="6" t="s">
        <v>106</v>
      </c>
      <c r="K360" s="6" t="s">
        <v>108</v>
      </c>
      <c r="L360" s="6">
        <v>3</v>
      </c>
      <c r="M360" s="6">
        <v>967.49</v>
      </c>
      <c r="N360" s="6">
        <v>0</v>
      </c>
    </row>
    <row r="361" spans="1:14" x14ac:dyDescent="0.25">
      <c r="A361" s="6">
        <v>10338</v>
      </c>
      <c r="B361" s="6">
        <v>1146</v>
      </c>
      <c r="C361" s="11">
        <v>45139</v>
      </c>
      <c r="D361" s="11">
        <v>45145</v>
      </c>
      <c r="E361" s="6" t="s">
        <v>85</v>
      </c>
      <c r="F361" s="6" t="s">
        <v>92</v>
      </c>
      <c r="G361" s="6" t="s">
        <v>93</v>
      </c>
      <c r="H361" s="6" t="s">
        <v>105</v>
      </c>
      <c r="I361" s="6" t="s">
        <v>112</v>
      </c>
      <c r="J361" s="6" t="s">
        <v>113</v>
      </c>
      <c r="K361" s="6" t="s">
        <v>84</v>
      </c>
      <c r="L361" s="6">
        <v>3</v>
      </c>
      <c r="M361" s="6">
        <v>464.42</v>
      </c>
      <c r="N361" s="6">
        <v>20</v>
      </c>
    </row>
    <row r="362" spans="1:14" x14ac:dyDescent="0.25">
      <c r="A362" s="6">
        <v>10388</v>
      </c>
      <c r="B362" s="6">
        <v>1919</v>
      </c>
      <c r="C362" s="11">
        <v>44934</v>
      </c>
      <c r="D362" s="11">
        <v>44941</v>
      </c>
      <c r="E362" s="6" t="s">
        <v>85</v>
      </c>
      <c r="F362" s="6" t="s">
        <v>117</v>
      </c>
      <c r="G362" s="6" t="s">
        <v>93</v>
      </c>
      <c r="H362" s="6" t="s">
        <v>81</v>
      </c>
      <c r="I362" s="6" t="s">
        <v>94</v>
      </c>
      <c r="J362" s="6" t="s">
        <v>102</v>
      </c>
      <c r="K362" s="6" t="s">
        <v>96</v>
      </c>
      <c r="L362" s="6">
        <v>3</v>
      </c>
      <c r="M362" s="6">
        <v>2032.79</v>
      </c>
      <c r="N362" s="6">
        <v>10</v>
      </c>
    </row>
    <row r="363" spans="1:14" x14ac:dyDescent="0.25">
      <c r="A363" s="6">
        <v>10392</v>
      </c>
      <c r="B363" s="6">
        <v>1967</v>
      </c>
      <c r="C363" s="11">
        <v>45027</v>
      </c>
      <c r="D363" s="11">
        <v>45036</v>
      </c>
      <c r="E363" s="6" t="s">
        <v>85</v>
      </c>
      <c r="F363" s="6" t="s">
        <v>101</v>
      </c>
      <c r="G363" s="6" t="s">
        <v>87</v>
      </c>
      <c r="H363" s="6" t="s">
        <v>88</v>
      </c>
      <c r="I363" s="6" t="s">
        <v>115</v>
      </c>
      <c r="J363" s="6" t="s">
        <v>123</v>
      </c>
      <c r="K363" s="6" t="s">
        <v>96</v>
      </c>
      <c r="L363" s="6">
        <v>3</v>
      </c>
      <c r="M363" s="6">
        <v>1553.98</v>
      </c>
      <c r="N363" s="6">
        <v>15</v>
      </c>
    </row>
    <row r="364" spans="1:14" x14ac:dyDescent="0.25">
      <c r="A364" s="6">
        <v>10115</v>
      </c>
      <c r="B364" s="6">
        <v>1295</v>
      </c>
      <c r="C364" s="11">
        <v>45156</v>
      </c>
      <c r="D364" s="11">
        <v>45159</v>
      </c>
      <c r="E364" s="6" t="s">
        <v>85</v>
      </c>
      <c r="F364" s="6" t="s">
        <v>117</v>
      </c>
      <c r="G364" s="6" t="s">
        <v>87</v>
      </c>
      <c r="H364" s="6" t="s">
        <v>105</v>
      </c>
      <c r="I364" s="6" t="s">
        <v>120</v>
      </c>
      <c r="J364" s="6" t="s">
        <v>125</v>
      </c>
      <c r="K364" s="6" t="s">
        <v>91</v>
      </c>
      <c r="L364" s="6">
        <v>2</v>
      </c>
      <c r="M364" s="6">
        <v>3621.09</v>
      </c>
      <c r="N364" s="6">
        <v>0</v>
      </c>
    </row>
    <row r="365" spans="1:14" x14ac:dyDescent="0.25">
      <c r="A365" s="6">
        <v>10118</v>
      </c>
      <c r="B365" s="6">
        <v>1748</v>
      </c>
      <c r="C365" s="11">
        <v>45128</v>
      </c>
      <c r="D365" s="11">
        <v>45129</v>
      </c>
      <c r="E365" s="6" t="s">
        <v>85</v>
      </c>
      <c r="F365" s="6" t="s">
        <v>79</v>
      </c>
      <c r="G365" s="6" t="s">
        <v>80</v>
      </c>
      <c r="H365" s="6" t="s">
        <v>107</v>
      </c>
      <c r="I365" s="6" t="s">
        <v>94</v>
      </c>
      <c r="J365" s="6" t="s">
        <v>111</v>
      </c>
      <c r="K365" s="6" t="s">
        <v>96</v>
      </c>
      <c r="L365" s="6">
        <v>2</v>
      </c>
      <c r="M365" s="6">
        <v>2303.71</v>
      </c>
      <c r="N365" s="6">
        <v>20</v>
      </c>
    </row>
    <row r="366" spans="1:14" x14ac:dyDescent="0.25">
      <c r="A366" s="6">
        <v>10150</v>
      </c>
      <c r="B366" s="6">
        <v>1772</v>
      </c>
      <c r="C366" s="11">
        <v>44956</v>
      </c>
      <c r="D366" s="11">
        <v>44961</v>
      </c>
      <c r="E366" s="6" t="s">
        <v>85</v>
      </c>
      <c r="F366" s="6" t="s">
        <v>117</v>
      </c>
      <c r="G366" s="6" t="s">
        <v>87</v>
      </c>
      <c r="H366" s="6" t="s">
        <v>81</v>
      </c>
      <c r="I366" s="6" t="s">
        <v>112</v>
      </c>
      <c r="J366" s="6" t="s">
        <v>114</v>
      </c>
      <c r="K366" s="6" t="s">
        <v>91</v>
      </c>
      <c r="L366" s="6">
        <v>2</v>
      </c>
      <c r="M366" s="6">
        <v>2808.06</v>
      </c>
      <c r="N366" s="6">
        <v>0</v>
      </c>
    </row>
    <row r="367" spans="1:14" x14ac:dyDescent="0.25">
      <c r="A367" s="6">
        <v>10254</v>
      </c>
      <c r="B367" s="6">
        <v>1676</v>
      </c>
      <c r="C367" s="11">
        <v>45010</v>
      </c>
      <c r="D367" s="11">
        <v>45012</v>
      </c>
      <c r="E367" s="6" t="s">
        <v>85</v>
      </c>
      <c r="F367" s="6" t="s">
        <v>79</v>
      </c>
      <c r="G367" s="6" t="s">
        <v>80</v>
      </c>
      <c r="H367" s="6" t="s">
        <v>105</v>
      </c>
      <c r="I367" s="6" t="s">
        <v>115</v>
      </c>
      <c r="J367" s="6" t="s">
        <v>127</v>
      </c>
      <c r="K367" s="6" t="s">
        <v>108</v>
      </c>
      <c r="L367" s="6">
        <v>2</v>
      </c>
      <c r="M367" s="6">
        <v>2711.66</v>
      </c>
      <c r="N367" s="6">
        <v>0</v>
      </c>
    </row>
    <row r="368" spans="1:14" x14ac:dyDescent="0.25">
      <c r="A368" s="6">
        <v>10328</v>
      </c>
      <c r="B368" s="6">
        <v>1348</v>
      </c>
      <c r="C368" s="11">
        <v>45245</v>
      </c>
      <c r="D368" s="11">
        <v>45250</v>
      </c>
      <c r="E368" s="6" t="s">
        <v>85</v>
      </c>
      <c r="F368" s="6" t="s">
        <v>117</v>
      </c>
      <c r="G368" s="6" t="s">
        <v>87</v>
      </c>
      <c r="H368" s="6" t="s">
        <v>88</v>
      </c>
      <c r="I368" s="6" t="s">
        <v>115</v>
      </c>
      <c r="J368" s="6" t="s">
        <v>116</v>
      </c>
      <c r="K368" s="6" t="s">
        <v>108</v>
      </c>
      <c r="L368" s="6">
        <v>2</v>
      </c>
      <c r="M368" s="6">
        <v>2948.33</v>
      </c>
      <c r="N368" s="6">
        <v>15</v>
      </c>
    </row>
    <row r="369" spans="1:14" x14ac:dyDescent="0.25">
      <c r="A369" s="6">
        <v>10024</v>
      </c>
      <c r="B369" s="6">
        <v>1343</v>
      </c>
      <c r="C369" s="11">
        <v>45075</v>
      </c>
      <c r="D369" s="11">
        <v>45082</v>
      </c>
      <c r="E369" s="6" t="s">
        <v>85</v>
      </c>
      <c r="F369" s="6" t="s">
        <v>104</v>
      </c>
      <c r="G369" s="6" t="s">
        <v>80</v>
      </c>
      <c r="H369" s="6" t="s">
        <v>107</v>
      </c>
      <c r="I369" s="6" t="s">
        <v>112</v>
      </c>
      <c r="J369" s="6" t="s">
        <v>114</v>
      </c>
      <c r="K369" s="6" t="s">
        <v>108</v>
      </c>
      <c r="L369" s="6">
        <v>1</v>
      </c>
      <c r="M369" s="6">
        <v>3606.31</v>
      </c>
      <c r="N369" s="6">
        <v>0</v>
      </c>
    </row>
    <row r="370" spans="1:14" x14ac:dyDescent="0.25">
      <c r="A370" s="6">
        <v>10138</v>
      </c>
      <c r="B370" s="6">
        <v>1128</v>
      </c>
      <c r="C370" s="11">
        <v>45088</v>
      </c>
      <c r="D370" s="11">
        <v>45093</v>
      </c>
      <c r="E370" s="6" t="s">
        <v>85</v>
      </c>
      <c r="F370" s="6" t="s">
        <v>92</v>
      </c>
      <c r="G370" s="6" t="s">
        <v>80</v>
      </c>
      <c r="H370" s="6" t="s">
        <v>98</v>
      </c>
      <c r="I370" s="6" t="s">
        <v>115</v>
      </c>
      <c r="J370" s="6" t="s">
        <v>116</v>
      </c>
      <c r="K370" s="6" t="s">
        <v>84</v>
      </c>
      <c r="L370" s="6">
        <v>1</v>
      </c>
      <c r="M370" s="6">
        <v>912.67</v>
      </c>
      <c r="N370" s="6">
        <v>0</v>
      </c>
    </row>
    <row r="371" spans="1:14" x14ac:dyDescent="0.25">
      <c r="A371" s="6">
        <v>10232</v>
      </c>
      <c r="B371" s="6">
        <v>1639</v>
      </c>
      <c r="C371" s="11">
        <v>44962</v>
      </c>
      <c r="D371" s="11">
        <v>44969</v>
      </c>
      <c r="E371" s="6" t="s">
        <v>85</v>
      </c>
      <c r="F371" s="6" t="s">
        <v>92</v>
      </c>
      <c r="G371" s="6" t="s">
        <v>80</v>
      </c>
      <c r="H371" s="6" t="s">
        <v>81</v>
      </c>
      <c r="I371" s="6" t="s">
        <v>120</v>
      </c>
      <c r="J371" s="6" t="s">
        <v>122</v>
      </c>
      <c r="K371" s="6" t="s">
        <v>84</v>
      </c>
      <c r="L371" s="6">
        <v>1</v>
      </c>
      <c r="M371" s="6">
        <v>2250.4899999999998</v>
      </c>
      <c r="N371" s="6">
        <v>15</v>
      </c>
    </row>
    <row r="372" spans="1:14" x14ac:dyDescent="0.25">
      <c r="A372" s="6">
        <v>10417</v>
      </c>
      <c r="B372" s="6">
        <v>1579</v>
      </c>
      <c r="C372" s="11">
        <v>45057</v>
      </c>
      <c r="D372" s="11">
        <v>45065</v>
      </c>
      <c r="E372" s="6" t="s">
        <v>85</v>
      </c>
      <c r="F372" s="6" t="s">
        <v>117</v>
      </c>
      <c r="G372" s="6" t="s">
        <v>80</v>
      </c>
      <c r="H372" s="6" t="s">
        <v>107</v>
      </c>
      <c r="I372" s="6" t="s">
        <v>115</v>
      </c>
      <c r="J372" s="6" t="s">
        <v>127</v>
      </c>
      <c r="K372" s="6" t="s">
        <v>108</v>
      </c>
      <c r="L372" s="6">
        <v>1</v>
      </c>
      <c r="M372" s="6">
        <v>3354.81</v>
      </c>
      <c r="N372" s="6">
        <v>0</v>
      </c>
    </row>
    <row r="373" spans="1:14" x14ac:dyDescent="0.25">
      <c r="A373" s="6">
        <v>10460</v>
      </c>
      <c r="B373" s="6">
        <v>1515</v>
      </c>
      <c r="C373" s="11">
        <v>45215</v>
      </c>
      <c r="D373" s="11">
        <v>45221</v>
      </c>
      <c r="E373" s="6" t="s">
        <v>85</v>
      </c>
      <c r="F373" s="6" t="s">
        <v>92</v>
      </c>
      <c r="G373" s="6" t="s">
        <v>87</v>
      </c>
      <c r="H373" s="6" t="s">
        <v>88</v>
      </c>
      <c r="I373" s="6" t="s">
        <v>112</v>
      </c>
      <c r="J373" s="6" t="s">
        <v>113</v>
      </c>
      <c r="K373" s="6" t="s">
        <v>84</v>
      </c>
      <c r="L373" s="6">
        <v>1</v>
      </c>
      <c r="M373" s="6">
        <v>445.38</v>
      </c>
      <c r="N373" s="6">
        <v>10</v>
      </c>
    </row>
  </sheetData>
  <sortState xmlns:xlrd2="http://schemas.microsoft.com/office/spreadsheetml/2017/richdata2" ref="A2:N373">
    <sortCondition ref="E2:E373"/>
    <sortCondition descending="1" ref="L2:L37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9CCC6-638F-48BD-9266-4241AD0F51C1}">
  <dimension ref="B1:D3"/>
  <sheetViews>
    <sheetView workbookViewId="0">
      <selection activeCell="D3" sqref="D3"/>
    </sheetView>
  </sheetViews>
  <sheetFormatPr defaultRowHeight="15" x14ac:dyDescent="0.25"/>
  <sheetData>
    <row r="1" spans="2:4" x14ac:dyDescent="0.25">
      <c r="B1" t="s">
        <v>133</v>
      </c>
      <c r="C1" t="s">
        <v>134</v>
      </c>
      <c r="D1" t="s">
        <v>135</v>
      </c>
    </row>
    <row r="2" spans="2:4" x14ac:dyDescent="0.25">
      <c r="B2">
        <v>49</v>
      </c>
      <c r="C2">
        <v>63</v>
      </c>
      <c r="D2" t="b">
        <f>B2=C2</f>
        <v>0</v>
      </c>
    </row>
    <row r="3" spans="2:4" x14ac:dyDescent="0.25">
      <c r="D3" t="b">
        <f>B2&lt;&gt;C2</f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A0188-917A-458C-8252-F6DCCEACE4F7}">
  <dimension ref="A1:M11"/>
  <sheetViews>
    <sheetView workbookViewId="0">
      <pane ySplit="1" topLeftCell="A2" activePane="bottomLeft" state="frozen"/>
      <selection pane="bottomLeft" activeCell="I2" sqref="I2"/>
    </sheetView>
  </sheetViews>
  <sheetFormatPr defaultRowHeight="15" x14ac:dyDescent="0.25"/>
  <cols>
    <col min="1" max="1" width="10.28515625" bestFit="1" customWidth="1"/>
    <col min="2" max="2" width="7.5703125" bestFit="1" customWidth="1"/>
    <col min="3" max="3" width="6.28515625" bestFit="1" customWidth="1"/>
    <col min="4" max="4" width="13.42578125" bestFit="1" customWidth="1"/>
    <col min="5" max="5" width="12.5703125" bestFit="1" customWidth="1"/>
    <col min="6" max="6" width="18.5703125" bestFit="1" customWidth="1"/>
    <col min="10" max="10" width="13.85546875" customWidth="1"/>
    <col min="11" max="11" width="17.42578125" customWidth="1"/>
    <col min="12" max="12" width="14.28515625" customWidth="1"/>
    <col min="13" max="13" width="13.140625" customWidth="1"/>
  </cols>
  <sheetData>
    <row r="1" spans="1:13" x14ac:dyDescent="0.25">
      <c r="A1" s="7" t="s">
        <v>139</v>
      </c>
      <c r="B1" s="7" t="s">
        <v>42</v>
      </c>
      <c r="C1" s="7" t="s">
        <v>160</v>
      </c>
      <c r="D1" s="7" t="s">
        <v>161</v>
      </c>
      <c r="E1" s="7" t="s">
        <v>162</v>
      </c>
      <c r="F1" s="7" t="s">
        <v>163</v>
      </c>
      <c r="G1" s="12" t="s">
        <v>166</v>
      </c>
      <c r="H1" s="12" t="s">
        <v>167</v>
      </c>
      <c r="I1" s="12" t="s">
        <v>168</v>
      </c>
      <c r="J1" s="12" t="s">
        <v>169</v>
      </c>
      <c r="K1" s="12" t="s">
        <v>170</v>
      </c>
      <c r="L1" s="12" t="s">
        <v>171</v>
      </c>
      <c r="M1" s="12" t="s">
        <v>172</v>
      </c>
    </row>
    <row r="2" spans="1:13" x14ac:dyDescent="0.25">
      <c r="A2" s="6" t="s">
        <v>140</v>
      </c>
      <c r="B2" s="6" t="s">
        <v>150</v>
      </c>
      <c r="C2" s="6">
        <v>92</v>
      </c>
      <c r="D2" s="6">
        <v>95</v>
      </c>
      <c r="E2" s="6">
        <v>88</v>
      </c>
      <c r="F2" s="6" t="s">
        <v>164</v>
      </c>
      <c r="G2" s="6" t="str">
        <f>IF(C2&gt;=50,"Pass","Fail")</f>
        <v>Pass</v>
      </c>
      <c r="H2" s="6" t="str" cm="1">
        <f t="array" ref="H2">_xlfn.IFS(C2&gt;=90,"A",C2&gt;=70,"B",C2&gt;=50,"C",C2&gt;=40,"Pass",C2&lt;40,"Fail")</f>
        <v>A</v>
      </c>
      <c r="I2" s="6" t="str">
        <f>IF(C2&gt;=90,"A",IF(C2&gt;=70,"B",IF(C2&gt;=50,"C",IF(C2&gt;=40,"Pass","Fail"))))</f>
        <v>A</v>
      </c>
      <c r="J2" s="6" t="str">
        <f>IF(E2&gt;=85,"Excellent",IF(E2&gt;=70,"Good",IF(E2&gt;=50,"Average","Poor")))</f>
        <v>Excellent</v>
      </c>
      <c r="K2" s="6" t="b">
        <f>AND(C2&gt;=50,C2&lt;=70)</f>
        <v>0</v>
      </c>
      <c r="L2" s="13" t="str">
        <f>IF(AND(C2&gt;=0,C2&lt;40),"Fail",IF(AND(C2&gt;=40,C2&lt;50),"Pass",IF(AND(C2&gt;=50,C2&lt;70),"C",IF(AND(C2&gt;=70,C2&lt;90),"B","A"))))</f>
        <v>A</v>
      </c>
      <c r="M2" s="6" t="str">
        <f>IF(OR(C2&lt;=0,C2&gt;=100),"Invalid","Valid")</f>
        <v>Valid</v>
      </c>
    </row>
    <row r="3" spans="1:13" x14ac:dyDescent="0.25">
      <c r="A3" s="6" t="s">
        <v>141</v>
      </c>
      <c r="B3" s="6" t="s">
        <v>151</v>
      </c>
      <c r="C3" s="6">
        <v>76</v>
      </c>
      <c r="D3" s="6">
        <v>82</v>
      </c>
      <c r="E3" s="6">
        <v>70</v>
      </c>
      <c r="F3" s="6" t="s">
        <v>165</v>
      </c>
      <c r="G3" s="6" t="str">
        <f>IF(C3&gt;=50,"Pass","Fail")</f>
        <v>Pass</v>
      </c>
      <c r="H3" s="6" t="str" cm="1">
        <f t="array" ref="H3">_xlfn.IFS(C3&gt;=90,"A",C3&gt;=70,"B",C3&gt;=50,"C",C3&gt;=40,"Pass",C3&lt;40,"Fail")</f>
        <v>B</v>
      </c>
      <c r="I3" s="6" t="str">
        <f t="shared" ref="I3:I11" si="0">IF(C3&gt;=90,"A",IF(C3&gt;=70,"B",IF(C3&gt;=50,"C",IF(C3&gt;=40,"Pass","Fail"))))</f>
        <v>B</v>
      </c>
      <c r="J3" s="6" t="str">
        <f>IF(E3&gt;=85,"Excellent",IF(E3&gt;=70,"Good",IF(E3&gt;=50,"Average","Poor")))</f>
        <v>Good</v>
      </c>
      <c r="K3" s="6" t="b">
        <f>AND(C3&gt;=50,C3&lt;=70)</f>
        <v>0</v>
      </c>
      <c r="L3" s="13" t="str">
        <f>IF(AND(C3&gt;=0,C3&lt;40),"Fail",IF(AND(C3&gt;=40,C3&lt;50),"Pass",IF(AND(C3&gt;=50,C3&lt;70),"C",IF(AND(C3&gt;=70,C3&lt;90),"B","A"))))</f>
        <v>B</v>
      </c>
      <c r="M3" s="6" t="str">
        <f t="shared" ref="M3:M11" si="1">IF(OR(C3&lt;=0,C3&gt;=100),"Invalid","Valid")</f>
        <v>Valid</v>
      </c>
    </row>
    <row r="4" spans="1:13" x14ac:dyDescent="0.25">
      <c r="A4" s="6" t="s">
        <v>142</v>
      </c>
      <c r="B4" s="6" t="s">
        <v>152</v>
      </c>
      <c r="C4" s="6">
        <v>45</v>
      </c>
      <c r="D4" s="6">
        <v>68</v>
      </c>
      <c r="E4" s="6">
        <v>55</v>
      </c>
      <c r="F4" s="6" t="s">
        <v>164</v>
      </c>
      <c r="G4" s="6" t="str">
        <f t="shared" ref="G4:G11" si="2">IF(C4&gt;=50,"Pass","Fail")</f>
        <v>Fail</v>
      </c>
      <c r="H4" s="6" t="str" cm="1">
        <f t="array" ref="H4">_xlfn.IFS(C4&gt;=90,"A",C4&gt;=70,"B",C4&gt;=50,"C",C4&gt;=40,"Pass",C4&lt;40,"Fail")</f>
        <v>Pass</v>
      </c>
      <c r="I4" s="6" t="str">
        <f t="shared" si="0"/>
        <v>Pass</v>
      </c>
      <c r="J4" s="6" t="str">
        <f t="shared" ref="J4:J11" si="3">IF(E4&gt;=85,"Excellent",IF(E4&gt;=70,"Good",IF(E4&gt;=50,"Average","Poor")))</f>
        <v>Average</v>
      </c>
      <c r="K4" s="6" t="b">
        <f t="shared" ref="K4:K11" si="4">AND(C4&gt;=50,C4&lt;=70)</f>
        <v>0</v>
      </c>
      <c r="L4" s="13" t="str">
        <f t="shared" ref="L4:L11" si="5">IF(AND(C4&gt;=0,C4&lt;40),"Fail",IF(AND(C4&gt;=40,C4&lt;50),"Pass",IF(AND(C4&gt;=50,C4&lt;70),"C",IF(AND(C4&gt;=70,C4&lt;90),"B","A"))))</f>
        <v>Pass</v>
      </c>
      <c r="M4" s="6" t="str">
        <f t="shared" si="1"/>
        <v>Valid</v>
      </c>
    </row>
    <row r="5" spans="1:13" x14ac:dyDescent="0.25">
      <c r="A5" s="6" t="s">
        <v>143</v>
      </c>
      <c r="B5" s="6" t="s">
        <v>153</v>
      </c>
      <c r="C5" s="6">
        <v>59</v>
      </c>
      <c r="D5" s="6">
        <v>74</v>
      </c>
      <c r="E5" s="6">
        <v>61</v>
      </c>
      <c r="F5" s="6" t="s">
        <v>165</v>
      </c>
      <c r="G5" s="6" t="str">
        <f t="shared" si="2"/>
        <v>Pass</v>
      </c>
      <c r="H5" s="6" t="str" cm="1">
        <f t="array" ref="H5">_xlfn.IFS(C5&gt;=90,"A",C5&gt;=70,"B",C5&gt;=50,"C",C5&gt;=40,"Pass",C5&lt;40,"Fail")</f>
        <v>C</v>
      </c>
      <c r="I5" s="6" t="str">
        <f t="shared" si="0"/>
        <v>C</v>
      </c>
      <c r="J5" s="6" t="str">
        <f t="shared" si="3"/>
        <v>Average</v>
      </c>
      <c r="K5" s="6" t="b">
        <f t="shared" si="4"/>
        <v>1</v>
      </c>
      <c r="L5" s="13" t="str">
        <f t="shared" si="5"/>
        <v>C</v>
      </c>
      <c r="M5" s="6" t="str">
        <f t="shared" si="1"/>
        <v>Valid</v>
      </c>
    </row>
    <row r="6" spans="1:13" x14ac:dyDescent="0.25">
      <c r="A6" s="6" t="s">
        <v>144</v>
      </c>
      <c r="B6" s="6" t="s">
        <v>154</v>
      </c>
      <c r="C6" s="6">
        <v>81</v>
      </c>
      <c r="D6" s="6">
        <v>91</v>
      </c>
      <c r="E6" s="6">
        <v>79</v>
      </c>
      <c r="F6" s="6" t="s">
        <v>164</v>
      </c>
      <c r="G6" s="6" t="str">
        <f t="shared" si="2"/>
        <v>Pass</v>
      </c>
      <c r="H6" s="6" t="str" cm="1">
        <f t="array" ref="H6">_xlfn.IFS(C6&gt;=90,"A",C6&gt;=70,"B",C6&gt;=50,"C",C6&gt;=40,"Pass",C6&lt;40,"Fail")</f>
        <v>B</v>
      </c>
      <c r="I6" s="6" t="str">
        <f t="shared" si="0"/>
        <v>B</v>
      </c>
      <c r="J6" s="6" t="str">
        <f t="shared" si="3"/>
        <v>Good</v>
      </c>
      <c r="K6" s="6" t="b">
        <f t="shared" si="4"/>
        <v>0</v>
      </c>
      <c r="L6" s="13" t="str">
        <f t="shared" si="5"/>
        <v>B</v>
      </c>
      <c r="M6" s="6" t="str">
        <f t="shared" si="1"/>
        <v>Valid</v>
      </c>
    </row>
    <row r="7" spans="1:13" x14ac:dyDescent="0.25">
      <c r="A7" s="6" t="s">
        <v>145</v>
      </c>
      <c r="B7" s="6" t="s">
        <v>155</v>
      </c>
      <c r="C7" s="6">
        <v>33</v>
      </c>
      <c r="D7" s="6">
        <v>60</v>
      </c>
      <c r="E7" s="6">
        <v>40</v>
      </c>
      <c r="F7" s="6" t="s">
        <v>165</v>
      </c>
      <c r="G7" s="6" t="str">
        <f t="shared" si="2"/>
        <v>Fail</v>
      </c>
      <c r="H7" s="6" t="str" cm="1">
        <f t="array" ref="H7">_xlfn.IFS(C7&gt;=90,"A",C7&gt;=70,"B",C7&gt;=50,"C",C7&gt;=40,"Pass",C7&lt;40,"Fail")</f>
        <v>Fail</v>
      </c>
      <c r="I7" s="6" t="str">
        <f t="shared" si="0"/>
        <v>Fail</v>
      </c>
      <c r="J7" s="6" t="str">
        <f t="shared" si="3"/>
        <v>Poor</v>
      </c>
      <c r="K7" s="6" t="b">
        <f t="shared" si="4"/>
        <v>0</v>
      </c>
      <c r="L7" s="13" t="str">
        <f t="shared" si="5"/>
        <v>Fail</v>
      </c>
      <c r="M7" s="6" t="str">
        <f t="shared" si="1"/>
        <v>Valid</v>
      </c>
    </row>
    <row r="8" spans="1:13" x14ac:dyDescent="0.25">
      <c r="A8" s="6" t="s">
        <v>146</v>
      </c>
      <c r="B8" s="6" t="s">
        <v>156</v>
      </c>
      <c r="C8" s="6">
        <v>67</v>
      </c>
      <c r="D8" s="6">
        <v>85</v>
      </c>
      <c r="E8" s="6">
        <v>72</v>
      </c>
      <c r="F8" s="6" t="s">
        <v>164</v>
      </c>
      <c r="G8" s="6" t="str">
        <f t="shared" si="2"/>
        <v>Pass</v>
      </c>
      <c r="H8" s="6" t="str" cm="1">
        <f t="array" ref="H8">_xlfn.IFS(C8&gt;=90,"A",C8&gt;=70,"B",C8&gt;=50,"C",C8&gt;=40,"Pass",C8&lt;40,"Fail")</f>
        <v>C</v>
      </c>
      <c r="I8" s="6" t="str">
        <f t="shared" si="0"/>
        <v>C</v>
      </c>
      <c r="J8" s="6" t="str">
        <f t="shared" si="3"/>
        <v>Good</v>
      </c>
      <c r="K8" s="6" t="b">
        <f t="shared" si="4"/>
        <v>1</v>
      </c>
      <c r="L8" s="13" t="str">
        <f t="shared" si="5"/>
        <v>C</v>
      </c>
      <c r="M8" s="6" t="str">
        <f t="shared" si="1"/>
        <v>Valid</v>
      </c>
    </row>
    <row r="9" spans="1:13" x14ac:dyDescent="0.25">
      <c r="A9" s="6" t="s">
        <v>147</v>
      </c>
      <c r="B9" s="6" t="s">
        <v>157</v>
      </c>
      <c r="C9" s="6">
        <v>49</v>
      </c>
      <c r="D9" s="6">
        <v>71</v>
      </c>
      <c r="E9" s="6">
        <v>58</v>
      </c>
      <c r="F9" s="6" t="s">
        <v>165</v>
      </c>
      <c r="G9" s="6" t="str">
        <f t="shared" si="2"/>
        <v>Fail</v>
      </c>
      <c r="H9" s="6" t="str" cm="1">
        <f t="array" ref="H9">_xlfn.IFS(C9&gt;=90,"A",C9&gt;=70,"B",C9&gt;=50,"C",C9&gt;=40,"Pass",C9&lt;40,"Fail")</f>
        <v>Pass</v>
      </c>
      <c r="I9" s="6" t="str">
        <f t="shared" si="0"/>
        <v>Pass</v>
      </c>
      <c r="J9" s="6" t="str">
        <f t="shared" si="3"/>
        <v>Average</v>
      </c>
      <c r="K9" s="6" t="b">
        <f t="shared" si="4"/>
        <v>0</v>
      </c>
      <c r="L9" s="13" t="str">
        <f t="shared" si="5"/>
        <v>Pass</v>
      </c>
      <c r="M9" s="6" t="str">
        <f t="shared" si="1"/>
        <v>Valid</v>
      </c>
    </row>
    <row r="10" spans="1:13" x14ac:dyDescent="0.25">
      <c r="A10" s="6" t="s">
        <v>148</v>
      </c>
      <c r="B10" s="6" t="s">
        <v>158</v>
      </c>
      <c r="C10" s="6">
        <v>88</v>
      </c>
      <c r="D10" s="6">
        <v>97</v>
      </c>
      <c r="E10" s="6">
        <v>91</v>
      </c>
      <c r="F10" s="6" t="s">
        <v>164</v>
      </c>
      <c r="G10" s="6" t="str">
        <f t="shared" si="2"/>
        <v>Pass</v>
      </c>
      <c r="H10" s="6" t="str" cm="1">
        <f t="array" ref="H10">_xlfn.IFS(C10&gt;=90,"A",C10&gt;=70,"B",C10&gt;=50,"C",C10&gt;=40,"Pass",C10&lt;40,"Fail")</f>
        <v>B</v>
      </c>
      <c r="I10" s="6" t="str">
        <f t="shared" si="0"/>
        <v>B</v>
      </c>
      <c r="J10" s="6" t="str">
        <f t="shared" si="3"/>
        <v>Excellent</v>
      </c>
      <c r="K10" s="6" t="b">
        <f t="shared" si="4"/>
        <v>0</v>
      </c>
      <c r="L10" s="13" t="str">
        <f t="shared" si="5"/>
        <v>B</v>
      </c>
      <c r="M10" s="6" t="str">
        <f t="shared" si="1"/>
        <v>Valid</v>
      </c>
    </row>
    <row r="11" spans="1:13" x14ac:dyDescent="0.25">
      <c r="A11" s="6" t="s">
        <v>149</v>
      </c>
      <c r="B11" s="6" t="s">
        <v>159</v>
      </c>
      <c r="C11" s="6">
        <v>54</v>
      </c>
      <c r="D11" s="6">
        <v>76</v>
      </c>
      <c r="E11" s="6">
        <v>64</v>
      </c>
      <c r="F11" s="6" t="s">
        <v>165</v>
      </c>
      <c r="G11" s="6" t="str">
        <f t="shared" si="2"/>
        <v>Pass</v>
      </c>
      <c r="H11" s="6" t="str" cm="1">
        <f t="array" ref="H11">_xlfn.IFS(C11&gt;=90,"A",C11&gt;=70,"B",C11&gt;=50,"C",C11&gt;=40,"Pass",C11&lt;40,"Fail")</f>
        <v>C</v>
      </c>
      <c r="I11" s="6" t="str">
        <f t="shared" si="0"/>
        <v>C</v>
      </c>
      <c r="J11" s="6" t="str">
        <f t="shared" si="3"/>
        <v>Average</v>
      </c>
      <c r="K11" s="6" t="b">
        <f t="shared" si="4"/>
        <v>1</v>
      </c>
      <c r="L11" s="13" t="str">
        <f t="shared" si="5"/>
        <v>C</v>
      </c>
      <c r="M11" s="6" t="str">
        <f t="shared" si="1"/>
        <v>Valid</v>
      </c>
    </row>
  </sheetData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8534-A9C8-4143-A68E-3336FE0FD762}">
  <dimension ref="B2:G8"/>
  <sheetViews>
    <sheetView workbookViewId="0">
      <selection activeCell="G3" sqref="G3"/>
    </sheetView>
  </sheetViews>
  <sheetFormatPr defaultRowHeight="15" x14ac:dyDescent="0.25"/>
  <sheetData>
    <row r="2" spans="2:7" x14ac:dyDescent="0.25">
      <c r="B2" s="6">
        <v>1</v>
      </c>
      <c r="C2" s="6" t="s">
        <v>30</v>
      </c>
      <c r="E2">
        <f>COUNT(B2:B8)</f>
        <v>7</v>
      </c>
      <c r="F2">
        <f>COUNTA(C2:C8)</f>
        <v>6</v>
      </c>
      <c r="G2">
        <f>COUNTBLANK(C2:C8)</f>
        <v>1</v>
      </c>
    </row>
    <row r="3" spans="2:7" x14ac:dyDescent="0.25">
      <c r="B3" s="6">
        <v>2</v>
      </c>
      <c r="C3" s="6" t="s">
        <v>33</v>
      </c>
    </row>
    <row r="4" spans="2:7" x14ac:dyDescent="0.25">
      <c r="B4" s="6">
        <v>3</v>
      </c>
      <c r="C4" s="6" t="s">
        <v>174</v>
      </c>
    </row>
    <row r="5" spans="2:7" x14ac:dyDescent="0.25">
      <c r="B5" s="6">
        <v>4</v>
      </c>
      <c r="C5" s="6" t="s">
        <v>30</v>
      </c>
    </row>
    <row r="6" spans="2:7" x14ac:dyDescent="0.25">
      <c r="B6" s="6">
        <v>5</v>
      </c>
      <c r="C6" s="6" t="s">
        <v>33</v>
      </c>
    </row>
    <row r="7" spans="2:7" x14ac:dyDescent="0.25">
      <c r="B7" s="6">
        <v>6</v>
      </c>
      <c r="C7" s="6" t="s">
        <v>30</v>
      </c>
    </row>
    <row r="8" spans="2:7" x14ac:dyDescent="0.25">
      <c r="B8" s="6">
        <v>7</v>
      </c>
      <c r="C8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BC8D9-2C32-4CB0-A137-D9C12CBB8841}">
  <dimension ref="C15:G20"/>
  <sheetViews>
    <sheetView topLeftCell="A4" workbookViewId="0">
      <selection activeCell="K18" sqref="K18"/>
    </sheetView>
  </sheetViews>
  <sheetFormatPr defaultRowHeight="15" x14ac:dyDescent="0.25"/>
  <sheetData>
    <row r="15" spans="3:7" x14ac:dyDescent="0.25">
      <c r="C15" s="6"/>
      <c r="D15" s="6" t="s">
        <v>195</v>
      </c>
      <c r="E15" s="6" t="s">
        <v>196</v>
      </c>
      <c r="F15" s="6" t="s">
        <v>197</v>
      </c>
      <c r="G15" s="6" t="s">
        <v>198</v>
      </c>
    </row>
    <row r="16" spans="3:7" x14ac:dyDescent="0.25">
      <c r="C16" s="6" t="s">
        <v>190</v>
      </c>
      <c r="D16" s="6">
        <v>65</v>
      </c>
      <c r="E16" s="6">
        <v>76</v>
      </c>
      <c r="F16" s="6">
        <v>56</v>
      </c>
      <c r="G16" s="6">
        <v>89</v>
      </c>
    </row>
    <row r="17" spans="3:7" x14ac:dyDescent="0.25">
      <c r="C17" s="6" t="s">
        <v>191</v>
      </c>
      <c r="D17" s="6">
        <v>98</v>
      </c>
      <c r="E17" s="6">
        <v>89</v>
      </c>
      <c r="F17" s="6">
        <v>45</v>
      </c>
      <c r="G17" s="6">
        <v>68</v>
      </c>
    </row>
    <row r="18" spans="3:7" x14ac:dyDescent="0.25">
      <c r="C18" s="6" t="s">
        <v>192</v>
      </c>
      <c r="D18" s="6">
        <v>55</v>
      </c>
      <c r="E18" s="6">
        <v>90</v>
      </c>
      <c r="F18" s="6">
        <v>45</v>
      </c>
      <c r="G18" s="6">
        <v>72</v>
      </c>
    </row>
    <row r="19" spans="3:7" x14ac:dyDescent="0.25">
      <c r="C19" s="6" t="s">
        <v>193</v>
      </c>
      <c r="D19" s="6">
        <v>65</v>
      </c>
      <c r="E19" s="6">
        <v>45</v>
      </c>
      <c r="F19" s="6">
        <v>98</v>
      </c>
      <c r="G19" s="6">
        <v>93</v>
      </c>
    </row>
    <row r="20" spans="3:7" x14ac:dyDescent="0.25">
      <c r="C20" s="6" t="s">
        <v>194</v>
      </c>
      <c r="D20" s="6">
        <v>67</v>
      </c>
      <c r="E20" s="6">
        <v>89</v>
      </c>
      <c r="F20" s="6">
        <v>45</v>
      </c>
      <c r="G20" s="6">
        <v>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A314A-7BC4-4607-9759-C2E8E2243A1B}">
  <dimension ref="I1:M6"/>
  <sheetViews>
    <sheetView workbookViewId="0">
      <selection activeCell="I1" sqref="I1:M6"/>
    </sheetView>
  </sheetViews>
  <sheetFormatPr defaultRowHeight="15" x14ac:dyDescent="0.25"/>
  <sheetData>
    <row r="1" spans="9:13" x14ac:dyDescent="0.25">
      <c r="I1" s="6"/>
      <c r="J1" s="6" t="s">
        <v>195</v>
      </c>
      <c r="K1" s="6" t="s">
        <v>196</v>
      </c>
      <c r="L1" s="6" t="s">
        <v>197</v>
      </c>
      <c r="M1" s="6" t="s">
        <v>198</v>
      </c>
    </row>
    <row r="2" spans="9:13" x14ac:dyDescent="0.25">
      <c r="I2" s="6" t="s">
        <v>190</v>
      </c>
      <c r="J2" s="6">
        <v>56</v>
      </c>
      <c r="K2" s="6">
        <v>78</v>
      </c>
      <c r="L2" s="6">
        <v>56</v>
      </c>
      <c r="M2" s="6">
        <v>89</v>
      </c>
    </row>
    <row r="3" spans="9:13" x14ac:dyDescent="0.25">
      <c r="I3" s="6" t="s">
        <v>191</v>
      </c>
      <c r="J3" s="6">
        <v>98</v>
      </c>
      <c r="K3" s="6">
        <v>89</v>
      </c>
      <c r="L3" s="6">
        <v>45</v>
      </c>
      <c r="M3" s="6">
        <v>68</v>
      </c>
    </row>
    <row r="4" spans="9:13" x14ac:dyDescent="0.25">
      <c r="I4" s="6" t="s">
        <v>192</v>
      </c>
      <c r="J4" s="6">
        <v>55</v>
      </c>
      <c r="K4" s="6">
        <v>90</v>
      </c>
      <c r="L4" s="6">
        <v>45</v>
      </c>
      <c r="M4" s="6">
        <v>72</v>
      </c>
    </row>
    <row r="5" spans="9:13" x14ac:dyDescent="0.25">
      <c r="I5" s="6" t="s">
        <v>193</v>
      </c>
      <c r="J5" s="6">
        <v>65</v>
      </c>
      <c r="K5" s="6">
        <v>45</v>
      </c>
      <c r="L5" s="6">
        <v>98</v>
      </c>
      <c r="M5" s="6">
        <v>93</v>
      </c>
    </row>
    <row r="6" spans="9:13" x14ac:dyDescent="0.25">
      <c r="I6" s="6" t="s">
        <v>194</v>
      </c>
      <c r="J6" s="6">
        <v>67</v>
      </c>
      <c r="K6" s="6">
        <v>89</v>
      </c>
      <c r="L6" s="6">
        <v>45</v>
      </c>
      <c r="M6" s="6">
        <v>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E8214-874D-4CE6-9563-394D4AEE671A}">
  <dimension ref="I11:M16"/>
  <sheetViews>
    <sheetView workbookViewId="0">
      <selection activeCell="I11" sqref="I11:M16"/>
    </sheetView>
  </sheetViews>
  <sheetFormatPr defaultRowHeight="15" x14ac:dyDescent="0.25"/>
  <sheetData>
    <row r="11" spans="9:13" x14ac:dyDescent="0.25">
      <c r="I11" s="6"/>
      <c r="J11" s="6" t="s">
        <v>195</v>
      </c>
      <c r="K11" s="6" t="s">
        <v>196</v>
      </c>
      <c r="L11" s="6" t="s">
        <v>197</v>
      </c>
      <c r="M11" s="6" t="s">
        <v>198</v>
      </c>
    </row>
    <row r="12" spans="9:13" x14ac:dyDescent="0.25">
      <c r="I12" s="6" t="s">
        <v>190</v>
      </c>
      <c r="J12" s="6">
        <v>56</v>
      </c>
      <c r="K12" s="6">
        <v>78</v>
      </c>
      <c r="L12" s="6">
        <v>56</v>
      </c>
      <c r="M12" s="6">
        <v>89</v>
      </c>
    </row>
    <row r="13" spans="9:13" x14ac:dyDescent="0.25">
      <c r="I13" s="6" t="s">
        <v>191</v>
      </c>
      <c r="J13" s="6">
        <v>98</v>
      </c>
      <c r="K13" s="6">
        <v>89</v>
      </c>
      <c r="L13" s="6">
        <v>45</v>
      </c>
      <c r="M13" s="6">
        <v>68</v>
      </c>
    </row>
    <row r="14" spans="9:13" x14ac:dyDescent="0.25">
      <c r="I14" s="6" t="s">
        <v>192</v>
      </c>
      <c r="J14" s="6">
        <v>55</v>
      </c>
      <c r="K14" s="6">
        <v>90</v>
      </c>
      <c r="L14" s="6">
        <v>45</v>
      </c>
      <c r="M14" s="6">
        <v>72</v>
      </c>
    </row>
    <row r="15" spans="9:13" x14ac:dyDescent="0.25">
      <c r="I15" s="6" t="s">
        <v>193</v>
      </c>
      <c r="J15" s="6">
        <v>65</v>
      </c>
      <c r="K15" s="6">
        <v>45</v>
      </c>
      <c r="L15" s="6">
        <v>98</v>
      </c>
      <c r="M15" s="6">
        <v>93</v>
      </c>
    </row>
    <row r="16" spans="9:13" x14ac:dyDescent="0.25">
      <c r="I16" s="6" t="s">
        <v>194</v>
      </c>
      <c r="J16" s="6">
        <v>67</v>
      </c>
      <c r="K16" s="6">
        <v>89</v>
      </c>
      <c r="L16" s="6">
        <v>45</v>
      </c>
      <c r="M16" s="6">
        <v>70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19DC3-60EB-4888-8BE5-36046ED69568}">
  <dimension ref="B2:N29"/>
  <sheetViews>
    <sheetView workbookViewId="0">
      <selection activeCell="K29" sqref="K29"/>
    </sheetView>
  </sheetViews>
  <sheetFormatPr defaultRowHeight="15" outlineLevelRow="1" x14ac:dyDescent="0.25"/>
  <cols>
    <col min="9" max="9" width="2.85546875" customWidth="1"/>
    <col min="10" max="10" width="12.42578125" customWidth="1"/>
  </cols>
  <sheetData>
    <row r="2" spans="2:14" x14ac:dyDescent="0.25">
      <c r="B2" s="6"/>
      <c r="C2" s="6" t="s">
        <v>195</v>
      </c>
      <c r="D2" s="6" t="s">
        <v>196</v>
      </c>
      <c r="E2" s="6" t="s">
        <v>197</v>
      </c>
      <c r="F2" s="6" t="s">
        <v>198</v>
      </c>
    </row>
    <row r="3" spans="2:14" x14ac:dyDescent="0.25">
      <c r="B3" s="6" t="s">
        <v>190</v>
      </c>
      <c r="C3" s="6">
        <v>168</v>
      </c>
      <c r="D3" s="6">
        <v>234</v>
      </c>
      <c r="E3" s="6">
        <v>168</v>
      </c>
      <c r="F3" s="6">
        <v>267</v>
      </c>
    </row>
    <row r="4" spans="2:14" x14ac:dyDescent="0.25">
      <c r="B4" s="6" t="s">
        <v>191</v>
      </c>
      <c r="C4" s="6">
        <v>294</v>
      </c>
      <c r="D4" s="6">
        <v>267</v>
      </c>
      <c r="E4" s="6">
        <v>135</v>
      </c>
      <c r="F4" s="6">
        <v>204</v>
      </c>
    </row>
    <row r="5" spans="2:14" x14ac:dyDescent="0.25">
      <c r="B5" s="6" t="s">
        <v>192</v>
      </c>
      <c r="C5" s="6">
        <v>165</v>
      </c>
      <c r="D5" s="6">
        <v>270</v>
      </c>
      <c r="E5" s="6">
        <v>135</v>
      </c>
      <c r="F5" s="6">
        <v>216</v>
      </c>
    </row>
    <row r="6" spans="2:14" x14ac:dyDescent="0.25">
      <c r="B6" s="6" t="s">
        <v>193</v>
      </c>
      <c r="C6" s="6">
        <v>195</v>
      </c>
      <c r="D6" s="6">
        <v>135</v>
      </c>
      <c r="E6" s="6">
        <v>294</v>
      </c>
      <c r="F6" s="6">
        <v>279</v>
      </c>
    </row>
    <row r="7" spans="2:14" x14ac:dyDescent="0.25">
      <c r="B7" s="6" t="s">
        <v>194</v>
      </c>
      <c r="C7" s="6">
        <v>201</v>
      </c>
      <c r="D7" s="6">
        <v>267</v>
      </c>
      <c r="E7" s="6">
        <v>135</v>
      </c>
      <c r="F7" s="6">
        <v>210</v>
      </c>
    </row>
    <row r="9" spans="2:14" x14ac:dyDescent="0.25">
      <c r="K9" t="s">
        <v>195</v>
      </c>
      <c r="L9" t="s">
        <v>196</v>
      </c>
      <c r="M9" t="s">
        <v>197</v>
      </c>
      <c r="N9" t="s">
        <v>198</v>
      </c>
    </row>
    <row r="10" spans="2:14" hidden="1" outlineLevel="1" x14ac:dyDescent="0.25">
      <c r="J10" t="s">
        <v>199</v>
      </c>
      <c r="K10">
        <f>Cons1!$D$16</f>
        <v>65</v>
      </c>
      <c r="L10">
        <f>Cons1!$E$16</f>
        <v>76</v>
      </c>
      <c r="M10">
        <f>Cons1!$F$16</f>
        <v>56</v>
      </c>
      <c r="N10">
        <f>Cons1!$G$16</f>
        <v>89</v>
      </c>
    </row>
    <row r="11" spans="2:14" hidden="1" outlineLevel="1" collapsed="1" x14ac:dyDescent="0.25">
      <c r="J11" t="s">
        <v>199</v>
      </c>
      <c r="K11">
        <f>Cons2!$J$2</f>
        <v>56</v>
      </c>
      <c r="L11">
        <f>Cons2!$K$2</f>
        <v>78</v>
      </c>
      <c r="M11">
        <f>Cons2!$L$2</f>
        <v>56</v>
      </c>
      <c r="N11">
        <f>Cons2!$M$2</f>
        <v>89</v>
      </c>
    </row>
    <row r="12" spans="2:14" hidden="1" outlineLevel="1" collapsed="1" x14ac:dyDescent="0.25">
      <c r="J12" t="s">
        <v>199</v>
      </c>
      <c r="K12">
        <f>Cons3!$J$12</f>
        <v>56</v>
      </c>
      <c r="L12">
        <f>Cons3!$K$12</f>
        <v>78</v>
      </c>
      <c r="M12">
        <f>Cons3!$L$12</f>
        <v>56</v>
      </c>
      <c r="N12">
        <f>Cons3!$M$12</f>
        <v>89</v>
      </c>
    </row>
    <row r="13" spans="2:14" collapsed="1" x14ac:dyDescent="0.25">
      <c r="I13" t="s">
        <v>190</v>
      </c>
      <c r="K13">
        <f>SUM(K10:K12)</f>
        <v>177</v>
      </c>
      <c r="L13">
        <f>SUM(L10:L12)</f>
        <v>232</v>
      </c>
      <c r="M13">
        <f>SUM(M10:M12)</f>
        <v>168</v>
      </c>
      <c r="N13">
        <f>SUM(N10:N12)</f>
        <v>267</v>
      </c>
    </row>
    <row r="14" spans="2:14" hidden="1" outlineLevel="1" x14ac:dyDescent="0.25">
      <c r="J14" t="s">
        <v>199</v>
      </c>
      <c r="K14">
        <f>Cons1!$D$17</f>
        <v>98</v>
      </c>
      <c r="L14">
        <f>Cons1!$E$17</f>
        <v>89</v>
      </c>
      <c r="M14">
        <f>Cons1!$F$17</f>
        <v>45</v>
      </c>
      <c r="N14">
        <f>Cons1!$G$17</f>
        <v>68</v>
      </c>
    </row>
    <row r="15" spans="2:14" hidden="1" outlineLevel="1" collapsed="1" x14ac:dyDescent="0.25">
      <c r="J15" t="s">
        <v>199</v>
      </c>
      <c r="K15">
        <f>Cons2!$J$3</f>
        <v>98</v>
      </c>
      <c r="L15">
        <f>Cons2!$K$3</f>
        <v>89</v>
      </c>
      <c r="M15">
        <f>Cons2!$L$3</f>
        <v>45</v>
      </c>
      <c r="N15">
        <f>Cons2!$M$3</f>
        <v>68</v>
      </c>
    </row>
    <row r="16" spans="2:14" hidden="1" outlineLevel="1" collapsed="1" x14ac:dyDescent="0.25">
      <c r="J16" t="s">
        <v>199</v>
      </c>
      <c r="K16">
        <f>Cons3!$J$13</f>
        <v>98</v>
      </c>
      <c r="L16">
        <f>Cons3!$K$13</f>
        <v>89</v>
      </c>
      <c r="M16">
        <f>Cons3!$L$13</f>
        <v>45</v>
      </c>
      <c r="N16">
        <f>Cons3!$M$13</f>
        <v>68</v>
      </c>
    </row>
    <row r="17" spans="9:14" collapsed="1" x14ac:dyDescent="0.25">
      <c r="I17" t="s">
        <v>191</v>
      </c>
      <c r="K17">
        <f>SUM(K14:K16)</f>
        <v>294</v>
      </c>
      <c r="L17">
        <f>SUM(L14:L16)</f>
        <v>267</v>
      </c>
      <c r="M17">
        <f>SUM(M14:M16)</f>
        <v>135</v>
      </c>
      <c r="N17">
        <f>SUM(N14:N16)</f>
        <v>204</v>
      </c>
    </row>
    <row r="18" spans="9:14" hidden="1" outlineLevel="1" x14ac:dyDescent="0.25">
      <c r="J18" t="s">
        <v>199</v>
      </c>
      <c r="K18">
        <f>Cons1!$D$18</f>
        <v>55</v>
      </c>
      <c r="L18">
        <f>Cons1!$E$18</f>
        <v>90</v>
      </c>
      <c r="M18">
        <f>Cons1!$F$18</f>
        <v>45</v>
      </c>
      <c r="N18">
        <f>Cons1!$G$18</f>
        <v>72</v>
      </c>
    </row>
    <row r="19" spans="9:14" hidden="1" outlineLevel="1" collapsed="1" x14ac:dyDescent="0.25">
      <c r="J19" t="s">
        <v>199</v>
      </c>
      <c r="K19">
        <f>Cons2!$J$4</f>
        <v>55</v>
      </c>
      <c r="L19">
        <f>Cons2!$K$4</f>
        <v>90</v>
      </c>
      <c r="M19">
        <f>Cons2!$L$4</f>
        <v>45</v>
      </c>
      <c r="N19">
        <f>Cons2!$M$4</f>
        <v>72</v>
      </c>
    </row>
    <row r="20" spans="9:14" hidden="1" outlineLevel="1" collapsed="1" x14ac:dyDescent="0.25">
      <c r="J20" t="s">
        <v>199</v>
      </c>
      <c r="K20">
        <f>Cons3!$J$14</f>
        <v>55</v>
      </c>
      <c r="L20">
        <f>Cons3!$K$14</f>
        <v>90</v>
      </c>
      <c r="M20">
        <f>Cons3!$L$14</f>
        <v>45</v>
      </c>
      <c r="N20">
        <f>Cons3!$M$14</f>
        <v>72</v>
      </c>
    </row>
    <row r="21" spans="9:14" collapsed="1" x14ac:dyDescent="0.25">
      <c r="I21" t="s">
        <v>192</v>
      </c>
      <c r="K21">
        <f>SUM(K18:K20)</f>
        <v>165</v>
      </c>
      <c r="L21">
        <f>SUM(L18:L20)</f>
        <v>270</v>
      </c>
      <c r="M21">
        <f>SUM(M18:M20)</f>
        <v>135</v>
      </c>
      <c r="N21">
        <f>SUM(N18:N20)</f>
        <v>216</v>
      </c>
    </row>
    <row r="22" spans="9:14" hidden="1" outlineLevel="1" x14ac:dyDescent="0.25">
      <c r="J22" t="s">
        <v>199</v>
      </c>
      <c r="K22">
        <f>Cons1!$D$19</f>
        <v>65</v>
      </c>
      <c r="L22">
        <f>Cons1!$E$19</f>
        <v>45</v>
      </c>
      <c r="M22">
        <f>Cons1!$F$19</f>
        <v>98</v>
      </c>
      <c r="N22">
        <f>Cons1!$G$19</f>
        <v>93</v>
      </c>
    </row>
    <row r="23" spans="9:14" hidden="1" outlineLevel="1" collapsed="1" x14ac:dyDescent="0.25">
      <c r="J23" t="s">
        <v>199</v>
      </c>
      <c r="K23">
        <f>Cons2!$J$5</f>
        <v>65</v>
      </c>
      <c r="L23">
        <f>Cons2!$K$5</f>
        <v>45</v>
      </c>
      <c r="M23">
        <f>Cons2!$L$5</f>
        <v>98</v>
      </c>
      <c r="N23">
        <f>Cons2!$M$5</f>
        <v>93</v>
      </c>
    </row>
    <row r="24" spans="9:14" hidden="1" outlineLevel="1" collapsed="1" x14ac:dyDescent="0.25">
      <c r="J24" t="s">
        <v>199</v>
      </c>
      <c r="K24">
        <f>Cons3!$J$15</f>
        <v>65</v>
      </c>
      <c r="L24">
        <f>Cons3!$K$15</f>
        <v>45</v>
      </c>
      <c r="M24">
        <f>Cons3!$L$15</f>
        <v>98</v>
      </c>
      <c r="N24">
        <f>Cons3!$M$15</f>
        <v>93</v>
      </c>
    </row>
    <row r="25" spans="9:14" collapsed="1" x14ac:dyDescent="0.25">
      <c r="I25" t="s">
        <v>193</v>
      </c>
      <c r="K25">
        <f>SUM(K22:K24)</f>
        <v>195</v>
      </c>
      <c r="L25">
        <f>SUM(L22:L24)</f>
        <v>135</v>
      </c>
      <c r="M25">
        <f>SUM(M22:M24)</f>
        <v>294</v>
      </c>
      <c r="N25">
        <f>SUM(N22:N24)</f>
        <v>279</v>
      </c>
    </row>
    <row r="26" spans="9:14" hidden="1" outlineLevel="1" x14ac:dyDescent="0.25">
      <c r="J26" t="s">
        <v>199</v>
      </c>
      <c r="K26">
        <f>Cons1!$D$20</f>
        <v>67</v>
      </c>
      <c r="L26">
        <f>Cons1!$E$20</f>
        <v>89</v>
      </c>
      <c r="M26">
        <f>Cons1!$F$20</f>
        <v>45</v>
      </c>
      <c r="N26">
        <f>Cons1!$G$20</f>
        <v>70</v>
      </c>
    </row>
    <row r="27" spans="9:14" hidden="1" outlineLevel="1" collapsed="1" x14ac:dyDescent="0.25">
      <c r="J27" t="s">
        <v>199</v>
      </c>
      <c r="K27">
        <f>Cons2!$J$6</f>
        <v>67</v>
      </c>
      <c r="L27">
        <f>Cons2!$K$6</f>
        <v>89</v>
      </c>
      <c r="M27">
        <f>Cons2!$L$6</f>
        <v>45</v>
      </c>
      <c r="N27">
        <f>Cons2!$M$6</f>
        <v>70</v>
      </c>
    </row>
    <row r="28" spans="9:14" hidden="1" outlineLevel="1" collapsed="1" x14ac:dyDescent="0.25">
      <c r="J28" t="s">
        <v>199</v>
      </c>
      <c r="K28">
        <f>Cons3!$J$16</f>
        <v>67</v>
      </c>
      <c r="L28">
        <f>Cons3!$K$16</f>
        <v>89</v>
      </c>
      <c r="M28">
        <f>Cons3!$L$16</f>
        <v>45</v>
      </c>
      <c r="N28">
        <f>Cons3!$M$16</f>
        <v>70</v>
      </c>
    </row>
    <row r="29" spans="9:14" collapsed="1" x14ac:dyDescent="0.25">
      <c r="I29" t="s">
        <v>194</v>
      </c>
      <c r="K29">
        <f>SUM(K26:K28)</f>
        <v>201</v>
      </c>
      <c r="L29">
        <f>SUM(L26:L28)</f>
        <v>267</v>
      </c>
      <c r="M29">
        <f>SUM(M26:M28)</f>
        <v>135</v>
      </c>
      <c r="N29">
        <f>SUM(N26:N28)</f>
        <v>210</v>
      </c>
    </row>
  </sheetData>
  <dataConsolidate leftLabels="1" topLabels="1" link="1">
    <dataRefs count="3">
      <dataRef ref="A13:E18" sheet="Cons1"/>
      <dataRef ref="I1:M6" sheet="Cons2"/>
      <dataRef ref="I11:M16" sheet="Cons3"/>
    </dataRefs>
  </dataConsolid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9A1CB-5A87-4759-8D01-54525CC07108}">
  <dimension ref="A1:V373"/>
  <sheetViews>
    <sheetView tabSelected="1" topLeftCell="H1" workbookViewId="0">
      <pane ySplit="1" topLeftCell="A5" activePane="bottomLeft" state="frozen"/>
      <selection pane="bottomLeft" activeCell="P14" sqref="P14"/>
    </sheetView>
  </sheetViews>
  <sheetFormatPr defaultRowHeight="15" x14ac:dyDescent="0.25"/>
  <cols>
    <col min="1" max="1" width="8.42578125" bestFit="1" customWidth="1"/>
    <col min="2" max="2" width="11.85546875" bestFit="1" customWidth="1"/>
    <col min="3" max="3" width="10.7109375" bestFit="1" customWidth="1"/>
    <col min="4" max="4" width="10.42578125" bestFit="1" customWidth="1"/>
    <col min="5" max="5" width="10.5703125" bestFit="1" customWidth="1"/>
    <col min="6" max="6" width="12" bestFit="1" customWidth="1"/>
    <col min="7" max="7" width="13.42578125" bestFit="1" customWidth="1"/>
    <col min="8" max="8" width="16.42578125" bestFit="1" customWidth="1"/>
    <col min="9" max="9" width="16.28515625" bestFit="1" customWidth="1"/>
    <col min="10" max="10" width="13.7109375" bestFit="1" customWidth="1"/>
    <col min="11" max="11" width="7.42578125" bestFit="1" customWidth="1"/>
    <col min="12" max="12" width="9.85546875" bestFit="1" customWidth="1"/>
    <col min="13" max="13" width="9.5703125" bestFit="1" customWidth="1"/>
    <col min="14" max="14" width="10.7109375" bestFit="1" customWidth="1"/>
    <col min="16" max="16" width="16.28515625" bestFit="1" customWidth="1"/>
    <col min="17" max="17" width="13.7109375" bestFit="1" customWidth="1"/>
    <col min="20" max="20" width="10.5703125" bestFit="1" customWidth="1"/>
    <col min="21" max="21" width="15.42578125" bestFit="1" customWidth="1"/>
    <col min="22" max="22" width="13.42578125" bestFit="1" customWidth="1"/>
  </cols>
  <sheetData>
    <row r="1" spans="1:22" x14ac:dyDescent="0.25">
      <c r="A1" s="7" t="s">
        <v>0</v>
      </c>
      <c r="B1" s="7" t="s">
        <v>65</v>
      </c>
      <c r="C1" s="7" t="s">
        <v>66</v>
      </c>
      <c r="D1" s="7" t="s">
        <v>67</v>
      </c>
      <c r="E1" s="7" t="s">
        <v>68</v>
      </c>
      <c r="F1" s="7" t="s">
        <v>69</v>
      </c>
      <c r="G1" s="7" t="s">
        <v>70</v>
      </c>
      <c r="H1" s="7" t="s">
        <v>71</v>
      </c>
      <c r="I1" s="7" t="s">
        <v>72</v>
      </c>
      <c r="J1" s="7" t="s">
        <v>73</v>
      </c>
      <c r="K1" s="7" t="s">
        <v>74</v>
      </c>
      <c r="L1" s="7" t="s">
        <v>75</v>
      </c>
      <c r="M1" s="7" t="s">
        <v>76</v>
      </c>
      <c r="N1" s="7" t="s">
        <v>77</v>
      </c>
    </row>
    <row r="2" spans="1:22" x14ac:dyDescent="0.25">
      <c r="A2" s="6">
        <v>10001</v>
      </c>
      <c r="B2" s="6">
        <v>1102</v>
      </c>
      <c r="C2" s="11">
        <v>45197</v>
      </c>
      <c r="D2" s="11">
        <v>45203</v>
      </c>
      <c r="E2" s="6" t="s">
        <v>78</v>
      </c>
      <c r="F2" s="6" t="s">
        <v>79</v>
      </c>
      <c r="G2" s="6" t="s">
        <v>80</v>
      </c>
      <c r="H2" s="6" t="s">
        <v>81</v>
      </c>
      <c r="I2" s="6" t="s">
        <v>82</v>
      </c>
      <c r="J2" s="6" t="s">
        <v>83</v>
      </c>
      <c r="K2" s="6" t="s">
        <v>84</v>
      </c>
      <c r="L2" s="6">
        <v>7</v>
      </c>
      <c r="M2" s="6">
        <v>2843.87</v>
      </c>
      <c r="N2" s="6">
        <v>0</v>
      </c>
    </row>
    <row r="3" spans="1:22" x14ac:dyDescent="0.25">
      <c r="A3" s="6">
        <v>10002</v>
      </c>
      <c r="B3" s="6">
        <v>1435</v>
      </c>
      <c r="C3" s="11">
        <v>45199</v>
      </c>
      <c r="D3" s="11">
        <v>45203</v>
      </c>
      <c r="E3" s="6" t="s">
        <v>85</v>
      </c>
      <c r="F3" s="6" t="s">
        <v>86</v>
      </c>
      <c r="G3" s="6" t="s">
        <v>87</v>
      </c>
      <c r="H3" s="6" t="s">
        <v>88</v>
      </c>
      <c r="I3" s="6" t="s">
        <v>89</v>
      </c>
      <c r="J3" s="6" t="s">
        <v>90</v>
      </c>
      <c r="K3" s="6" t="s">
        <v>91</v>
      </c>
      <c r="L3" s="6">
        <v>9</v>
      </c>
      <c r="M3" s="6">
        <v>2525.23</v>
      </c>
      <c r="N3" s="6">
        <v>5</v>
      </c>
      <c r="P3" s="7" t="s">
        <v>68</v>
      </c>
      <c r="Q3" s="6" t="s">
        <v>103</v>
      </c>
      <c r="T3" s="6" t="s">
        <v>78</v>
      </c>
      <c r="U3" t="s">
        <v>82</v>
      </c>
      <c r="V3" t="s">
        <v>83</v>
      </c>
    </row>
    <row r="4" spans="1:22" x14ac:dyDescent="0.25">
      <c r="A4" s="6">
        <v>10003</v>
      </c>
      <c r="B4" s="6">
        <v>1860</v>
      </c>
      <c r="C4" s="11">
        <v>45109</v>
      </c>
      <c r="D4" s="11">
        <v>45114</v>
      </c>
      <c r="E4" s="6" t="s">
        <v>78</v>
      </c>
      <c r="F4" s="6" t="s">
        <v>92</v>
      </c>
      <c r="G4" s="6" t="s">
        <v>93</v>
      </c>
      <c r="H4" s="6" t="s">
        <v>88</v>
      </c>
      <c r="I4" s="6" t="s">
        <v>94</v>
      </c>
      <c r="J4" s="6" t="s">
        <v>95</v>
      </c>
      <c r="K4" s="6" t="s">
        <v>96</v>
      </c>
      <c r="L4" s="6">
        <v>6</v>
      </c>
      <c r="M4" s="6">
        <v>3474.34</v>
      </c>
      <c r="N4" s="6">
        <v>15</v>
      </c>
      <c r="T4" s="6" t="s">
        <v>85</v>
      </c>
      <c r="U4" t="s">
        <v>89</v>
      </c>
      <c r="V4" t="s">
        <v>90</v>
      </c>
    </row>
    <row r="5" spans="1:22" x14ac:dyDescent="0.25">
      <c r="A5" s="6">
        <v>10004</v>
      </c>
      <c r="B5" s="6">
        <v>1270</v>
      </c>
      <c r="C5" s="11">
        <v>45079</v>
      </c>
      <c r="D5" s="11">
        <v>45087</v>
      </c>
      <c r="E5" s="6" t="s">
        <v>97</v>
      </c>
      <c r="F5" s="6" t="s">
        <v>92</v>
      </c>
      <c r="G5" s="6" t="s">
        <v>87</v>
      </c>
      <c r="H5" s="6" t="s">
        <v>98</v>
      </c>
      <c r="I5" s="6" t="s">
        <v>89</v>
      </c>
      <c r="J5" s="6" t="s">
        <v>99</v>
      </c>
      <c r="K5" s="6" t="s">
        <v>84</v>
      </c>
      <c r="L5" s="6">
        <v>1</v>
      </c>
      <c r="M5" s="6">
        <v>1008.79</v>
      </c>
      <c r="N5" s="6">
        <v>15</v>
      </c>
      <c r="T5" s="6" t="s">
        <v>97</v>
      </c>
      <c r="U5" t="s">
        <v>94</v>
      </c>
      <c r="V5" t="s">
        <v>95</v>
      </c>
    </row>
    <row r="6" spans="1:22" x14ac:dyDescent="0.25">
      <c r="A6" s="6">
        <v>10005</v>
      </c>
      <c r="B6" s="6">
        <v>1106</v>
      </c>
      <c r="C6" s="11">
        <v>45241</v>
      </c>
      <c r="D6" s="11">
        <v>45244</v>
      </c>
      <c r="E6" s="6" t="s">
        <v>100</v>
      </c>
      <c r="F6" s="6" t="s">
        <v>101</v>
      </c>
      <c r="G6" s="6" t="s">
        <v>93</v>
      </c>
      <c r="H6" s="6" t="s">
        <v>81</v>
      </c>
      <c r="I6" s="6" t="s">
        <v>94</v>
      </c>
      <c r="J6" s="6" t="s">
        <v>102</v>
      </c>
      <c r="K6" s="6" t="s">
        <v>84</v>
      </c>
      <c r="L6" s="6">
        <v>7</v>
      </c>
      <c r="M6" s="6">
        <v>3511.47</v>
      </c>
      <c r="N6" s="6">
        <v>20</v>
      </c>
      <c r="T6" s="6" t="s">
        <v>100</v>
      </c>
      <c r="U6" t="s">
        <v>112</v>
      </c>
      <c r="V6" t="s">
        <v>99</v>
      </c>
    </row>
    <row r="7" spans="1:22" x14ac:dyDescent="0.25">
      <c r="A7" s="6">
        <v>10006</v>
      </c>
      <c r="B7" s="6">
        <v>1071</v>
      </c>
      <c r="C7" s="11">
        <v>45260</v>
      </c>
      <c r="D7" s="11">
        <v>45263</v>
      </c>
      <c r="E7" s="6" t="s">
        <v>103</v>
      </c>
      <c r="F7" s="6" t="s">
        <v>104</v>
      </c>
      <c r="G7" s="6" t="s">
        <v>87</v>
      </c>
      <c r="H7" s="6" t="s">
        <v>105</v>
      </c>
      <c r="I7" s="6" t="s">
        <v>82</v>
      </c>
      <c r="J7" s="6" t="s">
        <v>106</v>
      </c>
      <c r="K7" s="6" t="s">
        <v>96</v>
      </c>
      <c r="L7" s="6">
        <v>3</v>
      </c>
      <c r="M7" s="6">
        <v>3189.55</v>
      </c>
      <c r="N7" s="6">
        <v>10</v>
      </c>
      <c r="T7" s="6" t="s">
        <v>103</v>
      </c>
      <c r="U7" t="s">
        <v>115</v>
      </c>
      <c r="V7" t="s">
        <v>102</v>
      </c>
    </row>
    <row r="8" spans="1:22" x14ac:dyDescent="0.25">
      <c r="A8" s="6">
        <v>10007</v>
      </c>
      <c r="B8" s="6">
        <v>1700</v>
      </c>
      <c r="C8" s="11">
        <v>45050</v>
      </c>
      <c r="D8" s="11">
        <v>45054</v>
      </c>
      <c r="E8" s="6" t="s">
        <v>97</v>
      </c>
      <c r="F8" s="6" t="s">
        <v>104</v>
      </c>
      <c r="G8" s="6" t="s">
        <v>80</v>
      </c>
      <c r="H8" s="6" t="s">
        <v>107</v>
      </c>
      <c r="I8" s="6" t="s">
        <v>94</v>
      </c>
      <c r="J8" s="6" t="s">
        <v>95</v>
      </c>
      <c r="K8" s="6" t="s">
        <v>108</v>
      </c>
      <c r="L8" s="6">
        <v>5</v>
      </c>
      <c r="M8" s="6">
        <v>3030.42</v>
      </c>
      <c r="N8" s="6">
        <v>10</v>
      </c>
      <c r="T8" s="6" t="s">
        <v>109</v>
      </c>
      <c r="U8" t="s">
        <v>120</v>
      </c>
      <c r="V8" t="s">
        <v>106</v>
      </c>
    </row>
    <row r="9" spans="1:22" x14ac:dyDescent="0.25">
      <c r="A9" s="6">
        <v>10008</v>
      </c>
      <c r="B9" s="6">
        <v>1020</v>
      </c>
      <c r="C9" s="11">
        <v>45040</v>
      </c>
      <c r="D9" s="11">
        <v>45041</v>
      </c>
      <c r="E9" s="6" t="s">
        <v>109</v>
      </c>
      <c r="F9" s="6" t="s">
        <v>79</v>
      </c>
      <c r="G9" s="6" t="s">
        <v>87</v>
      </c>
      <c r="H9" s="6" t="s">
        <v>81</v>
      </c>
      <c r="I9" s="6" t="s">
        <v>94</v>
      </c>
      <c r="J9" s="6" t="s">
        <v>95</v>
      </c>
      <c r="K9" s="6" t="s">
        <v>110</v>
      </c>
      <c r="L9" s="6">
        <v>4</v>
      </c>
      <c r="M9" s="6">
        <v>2310.83</v>
      </c>
      <c r="N9" s="6">
        <v>10</v>
      </c>
      <c r="T9" s="6" t="s">
        <v>79</v>
      </c>
      <c r="V9" t="s">
        <v>111</v>
      </c>
    </row>
    <row r="10" spans="1:22" x14ac:dyDescent="0.25">
      <c r="A10" s="6">
        <v>10009</v>
      </c>
      <c r="B10" s="6">
        <v>1614</v>
      </c>
      <c r="C10" s="11">
        <v>45204</v>
      </c>
      <c r="D10" s="11">
        <v>45213</v>
      </c>
      <c r="E10" s="6" t="s">
        <v>78</v>
      </c>
      <c r="F10" s="6" t="s">
        <v>92</v>
      </c>
      <c r="G10" s="6" t="s">
        <v>87</v>
      </c>
      <c r="H10" s="6" t="s">
        <v>88</v>
      </c>
      <c r="I10" s="6" t="s">
        <v>94</v>
      </c>
      <c r="J10" s="6" t="s">
        <v>111</v>
      </c>
      <c r="K10" s="6" t="s">
        <v>91</v>
      </c>
      <c r="L10" s="6">
        <v>5</v>
      </c>
      <c r="M10" s="6">
        <v>1098.04</v>
      </c>
      <c r="N10" s="6">
        <v>15</v>
      </c>
      <c r="V10" t="s">
        <v>113</v>
      </c>
    </row>
    <row r="11" spans="1:22" x14ac:dyDescent="0.25">
      <c r="A11" s="6">
        <v>10010</v>
      </c>
      <c r="B11" s="6">
        <v>1121</v>
      </c>
      <c r="C11" s="11">
        <v>45139</v>
      </c>
      <c r="D11" s="11">
        <v>45147</v>
      </c>
      <c r="E11" s="6" t="s">
        <v>97</v>
      </c>
      <c r="F11" s="6" t="s">
        <v>101</v>
      </c>
      <c r="G11" s="6" t="s">
        <v>87</v>
      </c>
      <c r="H11" s="6" t="s">
        <v>98</v>
      </c>
      <c r="I11" s="6" t="s">
        <v>112</v>
      </c>
      <c r="J11" s="6" t="s">
        <v>113</v>
      </c>
      <c r="K11" s="6" t="s">
        <v>110</v>
      </c>
      <c r="L11" s="6">
        <v>5</v>
      </c>
      <c r="M11" s="6">
        <v>1780.66</v>
      </c>
      <c r="N11" s="6">
        <v>20</v>
      </c>
      <c r="T11" s="15"/>
      <c r="V11" t="s">
        <v>114</v>
      </c>
    </row>
    <row r="12" spans="1:22" x14ac:dyDescent="0.25">
      <c r="A12" s="6">
        <v>10011</v>
      </c>
      <c r="B12" s="6">
        <v>1466</v>
      </c>
      <c r="C12" s="11">
        <v>45098</v>
      </c>
      <c r="D12" s="11">
        <v>45106</v>
      </c>
      <c r="E12" s="6" t="s">
        <v>97</v>
      </c>
      <c r="F12" s="6" t="s">
        <v>101</v>
      </c>
      <c r="G12" s="6" t="s">
        <v>80</v>
      </c>
      <c r="H12" s="6" t="s">
        <v>98</v>
      </c>
      <c r="I12" s="6" t="s">
        <v>112</v>
      </c>
      <c r="J12" s="6" t="s">
        <v>113</v>
      </c>
      <c r="K12" s="6" t="s">
        <v>96</v>
      </c>
      <c r="L12" s="6">
        <v>6</v>
      </c>
      <c r="M12" s="6">
        <v>3205.25</v>
      </c>
      <c r="N12" s="6">
        <v>0</v>
      </c>
      <c r="V12" t="s">
        <v>116</v>
      </c>
    </row>
    <row r="13" spans="1:22" x14ac:dyDescent="0.25">
      <c r="A13" s="6">
        <v>10012</v>
      </c>
      <c r="B13" s="6">
        <v>1214</v>
      </c>
      <c r="C13" s="11">
        <v>45214</v>
      </c>
      <c r="D13" s="11">
        <v>45220</v>
      </c>
      <c r="E13" s="6" t="s">
        <v>109</v>
      </c>
      <c r="F13" s="6" t="s">
        <v>86</v>
      </c>
      <c r="G13" s="6" t="s">
        <v>87</v>
      </c>
      <c r="H13" s="6" t="s">
        <v>107</v>
      </c>
      <c r="I13" s="6" t="s">
        <v>112</v>
      </c>
      <c r="J13" s="6" t="s">
        <v>114</v>
      </c>
      <c r="K13" s="6" t="s">
        <v>84</v>
      </c>
      <c r="L13" s="6">
        <v>6</v>
      </c>
      <c r="M13" s="6">
        <v>272.35000000000002</v>
      </c>
      <c r="N13" s="6">
        <v>5</v>
      </c>
      <c r="V13" t="s">
        <v>118</v>
      </c>
    </row>
    <row r="14" spans="1:22" x14ac:dyDescent="0.25">
      <c r="A14" s="6">
        <v>10013</v>
      </c>
      <c r="B14" s="6">
        <v>1330</v>
      </c>
      <c r="C14" s="11">
        <v>45100</v>
      </c>
      <c r="D14" s="11">
        <v>45107</v>
      </c>
      <c r="E14" s="6" t="s">
        <v>79</v>
      </c>
      <c r="F14" s="6" t="s">
        <v>86</v>
      </c>
      <c r="G14" s="6" t="s">
        <v>80</v>
      </c>
      <c r="H14" s="6" t="s">
        <v>98</v>
      </c>
      <c r="I14" s="6" t="s">
        <v>82</v>
      </c>
      <c r="J14" s="6" t="s">
        <v>106</v>
      </c>
      <c r="K14" s="6" t="s">
        <v>84</v>
      </c>
      <c r="L14" s="6">
        <v>8</v>
      </c>
      <c r="M14" s="6">
        <v>3160.9</v>
      </c>
      <c r="N14" s="6">
        <v>0</v>
      </c>
      <c r="P14" s="7" t="s">
        <v>72</v>
      </c>
      <c r="Q14" s="7" t="s">
        <v>73</v>
      </c>
      <c r="T14" s="15"/>
      <c r="V14" t="s">
        <v>119</v>
      </c>
    </row>
    <row r="15" spans="1:22" x14ac:dyDescent="0.25">
      <c r="A15" s="6">
        <v>10014</v>
      </c>
      <c r="B15" s="6">
        <v>1458</v>
      </c>
      <c r="C15" s="11">
        <v>45039</v>
      </c>
      <c r="D15" s="11">
        <v>45045</v>
      </c>
      <c r="E15" s="6" t="s">
        <v>100</v>
      </c>
      <c r="F15" s="6" t="s">
        <v>101</v>
      </c>
      <c r="G15" s="6" t="s">
        <v>93</v>
      </c>
      <c r="H15" s="6" t="s">
        <v>98</v>
      </c>
      <c r="I15" s="6" t="s">
        <v>89</v>
      </c>
      <c r="J15" s="6" t="s">
        <v>99</v>
      </c>
      <c r="K15" s="6" t="s">
        <v>91</v>
      </c>
      <c r="L15" s="6">
        <v>8</v>
      </c>
      <c r="M15" s="6">
        <v>1074.27</v>
      </c>
      <c r="N15" s="6">
        <v>15</v>
      </c>
      <c r="P15" s="6" t="s">
        <v>82</v>
      </c>
      <c r="Q15" s="6" t="s">
        <v>118</v>
      </c>
      <c r="T15" s="15"/>
      <c r="V15" t="s">
        <v>121</v>
      </c>
    </row>
    <row r="16" spans="1:22" x14ac:dyDescent="0.25">
      <c r="A16" s="6">
        <v>10015</v>
      </c>
      <c r="B16" s="6">
        <v>1087</v>
      </c>
      <c r="C16" s="11">
        <v>45048</v>
      </c>
      <c r="D16" s="11">
        <v>45057</v>
      </c>
      <c r="E16" s="6" t="s">
        <v>103</v>
      </c>
      <c r="F16" s="6" t="s">
        <v>86</v>
      </c>
      <c r="G16" s="6" t="s">
        <v>87</v>
      </c>
      <c r="H16" s="6" t="s">
        <v>81</v>
      </c>
      <c r="I16" s="6" t="s">
        <v>115</v>
      </c>
      <c r="J16" s="6" t="s">
        <v>116</v>
      </c>
      <c r="K16" s="6" t="s">
        <v>84</v>
      </c>
      <c r="L16" s="6">
        <v>9</v>
      </c>
      <c r="M16" s="6">
        <v>705.59</v>
      </c>
      <c r="N16" s="6">
        <v>10</v>
      </c>
      <c r="T16" s="15"/>
      <c r="V16" t="s">
        <v>122</v>
      </c>
    </row>
    <row r="17" spans="1:22" x14ac:dyDescent="0.25">
      <c r="A17" s="6">
        <v>10016</v>
      </c>
      <c r="B17" s="6">
        <v>1372</v>
      </c>
      <c r="C17" s="11">
        <v>44958</v>
      </c>
      <c r="D17" s="11">
        <v>44961</v>
      </c>
      <c r="E17" s="6" t="s">
        <v>85</v>
      </c>
      <c r="F17" s="6" t="s">
        <v>92</v>
      </c>
      <c r="G17" s="6" t="s">
        <v>80</v>
      </c>
      <c r="H17" s="6" t="s">
        <v>105</v>
      </c>
      <c r="I17" s="6" t="s">
        <v>94</v>
      </c>
      <c r="J17" s="6" t="s">
        <v>102</v>
      </c>
      <c r="K17" s="6" t="s">
        <v>84</v>
      </c>
      <c r="L17" s="6">
        <v>8</v>
      </c>
      <c r="M17" s="6">
        <v>595.45000000000005</v>
      </c>
      <c r="N17" s="6">
        <v>5</v>
      </c>
      <c r="V17" t="s">
        <v>123</v>
      </c>
    </row>
    <row r="18" spans="1:22" x14ac:dyDescent="0.25">
      <c r="A18" s="6">
        <v>10017</v>
      </c>
      <c r="B18" s="6">
        <v>1099</v>
      </c>
      <c r="C18" s="11">
        <v>45148</v>
      </c>
      <c r="D18" s="11">
        <v>45151</v>
      </c>
      <c r="E18" s="6" t="s">
        <v>79</v>
      </c>
      <c r="F18" s="6" t="s">
        <v>117</v>
      </c>
      <c r="G18" s="6" t="s">
        <v>80</v>
      </c>
      <c r="H18" s="6" t="s">
        <v>107</v>
      </c>
      <c r="I18" s="6" t="s">
        <v>94</v>
      </c>
      <c r="J18" s="6" t="s">
        <v>102</v>
      </c>
      <c r="K18" s="6" t="s">
        <v>91</v>
      </c>
      <c r="L18" s="6">
        <v>2</v>
      </c>
      <c r="M18" s="6">
        <v>254.91</v>
      </c>
      <c r="N18" s="6">
        <v>15</v>
      </c>
      <c r="V18" t="s">
        <v>124</v>
      </c>
    </row>
    <row r="19" spans="1:22" x14ac:dyDescent="0.25">
      <c r="A19" s="6">
        <v>10018</v>
      </c>
      <c r="B19" s="6">
        <v>1871</v>
      </c>
      <c r="C19" s="11">
        <v>45045</v>
      </c>
      <c r="D19" s="11">
        <v>45048</v>
      </c>
      <c r="E19" s="6" t="s">
        <v>78</v>
      </c>
      <c r="F19" s="6" t="s">
        <v>92</v>
      </c>
      <c r="G19" s="6" t="s">
        <v>87</v>
      </c>
      <c r="H19" s="6" t="s">
        <v>81</v>
      </c>
      <c r="I19" s="6" t="s">
        <v>82</v>
      </c>
      <c r="J19" s="6" t="s">
        <v>118</v>
      </c>
      <c r="K19" s="6" t="s">
        <v>91</v>
      </c>
      <c r="L19" s="6">
        <v>1</v>
      </c>
      <c r="M19" s="6">
        <v>2165.81</v>
      </c>
      <c r="N19" s="6">
        <v>15</v>
      </c>
      <c r="V19" t="s">
        <v>125</v>
      </c>
    </row>
    <row r="20" spans="1:22" x14ac:dyDescent="0.25">
      <c r="A20" s="6">
        <v>10019</v>
      </c>
      <c r="B20" s="6">
        <v>1663</v>
      </c>
      <c r="C20" s="11">
        <v>44965</v>
      </c>
      <c r="D20" s="11">
        <v>44968</v>
      </c>
      <c r="E20" s="6" t="s">
        <v>97</v>
      </c>
      <c r="F20" s="6" t="s">
        <v>101</v>
      </c>
      <c r="G20" s="6" t="s">
        <v>93</v>
      </c>
      <c r="H20" s="6" t="s">
        <v>105</v>
      </c>
      <c r="I20" s="6" t="s">
        <v>94</v>
      </c>
      <c r="J20" s="6" t="s">
        <v>102</v>
      </c>
      <c r="K20" s="6" t="s">
        <v>96</v>
      </c>
      <c r="L20" s="6">
        <v>2</v>
      </c>
      <c r="M20" s="6">
        <v>990.3</v>
      </c>
      <c r="N20" s="6">
        <v>15</v>
      </c>
      <c r="V20" t="s">
        <v>126</v>
      </c>
    </row>
    <row r="21" spans="1:22" x14ac:dyDescent="0.25">
      <c r="A21" s="6">
        <v>10020</v>
      </c>
      <c r="B21" s="6">
        <v>1130</v>
      </c>
      <c r="C21" s="11">
        <v>45194</v>
      </c>
      <c r="D21" s="11">
        <v>45203</v>
      </c>
      <c r="E21" s="6" t="s">
        <v>109</v>
      </c>
      <c r="F21" s="6" t="s">
        <v>101</v>
      </c>
      <c r="G21" s="6" t="s">
        <v>80</v>
      </c>
      <c r="H21" s="6" t="s">
        <v>81</v>
      </c>
      <c r="I21" s="6" t="s">
        <v>112</v>
      </c>
      <c r="J21" s="6" t="s">
        <v>114</v>
      </c>
      <c r="K21" s="6" t="s">
        <v>84</v>
      </c>
      <c r="L21" s="6">
        <v>2</v>
      </c>
      <c r="M21" s="6">
        <v>3959.31</v>
      </c>
      <c r="N21" s="6">
        <v>5</v>
      </c>
      <c r="V21" t="s">
        <v>127</v>
      </c>
    </row>
    <row r="22" spans="1:22" x14ac:dyDescent="0.25">
      <c r="A22" s="6">
        <v>10021</v>
      </c>
      <c r="B22" s="6">
        <v>1661</v>
      </c>
      <c r="C22" s="11">
        <v>45159</v>
      </c>
      <c r="D22" s="11">
        <v>45163</v>
      </c>
      <c r="E22" s="6" t="s">
        <v>109</v>
      </c>
      <c r="F22" s="6" t="s">
        <v>92</v>
      </c>
      <c r="G22" s="6" t="s">
        <v>87</v>
      </c>
      <c r="H22" s="6" t="s">
        <v>81</v>
      </c>
      <c r="I22" s="6" t="s">
        <v>115</v>
      </c>
      <c r="J22" s="6" t="s">
        <v>119</v>
      </c>
      <c r="K22" s="6" t="s">
        <v>84</v>
      </c>
      <c r="L22" s="6">
        <v>3</v>
      </c>
      <c r="M22" s="6">
        <v>2361.58</v>
      </c>
      <c r="N22" s="6">
        <v>5</v>
      </c>
      <c r="V22" t="s">
        <v>128</v>
      </c>
    </row>
    <row r="23" spans="1:22" x14ac:dyDescent="0.25">
      <c r="A23" s="6">
        <v>10022</v>
      </c>
      <c r="B23" s="6">
        <v>1308</v>
      </c>
      <c r="C23" s="11">
        <v>44944</v>
      </c>
      <c r="D23" s="11">
        <v>44951</v>
      </c>
      <c r="E23" s="6" t="s">
        <v>100</v>
      </c>
      <c r="F23" s="6" t="s">
        <v>86</v>
      </c>
      <c r="G23" s="6" t="s">
        <v>93</v>
      </c>
      <c r="H23" s="6" t="s">
        <v>98</v>
      </c>
      <c r="I23" s="6" t="s">
        <v>120</v>
      </c>
      <c r="J23" s="6" t="s">
        <v>121</v>
      </c>
      <c r="K23" s="6" t="s">
        <v>96</v>
      </c>
      <c r="L23" s="6">
        <v>7</v>
      </c>
      <c r="M23" s="6">
        <v>680.86</v>
      </c>
      <c r="N23" s="6">
        <v>20</v>
      </c>
      <c r="V23" t="s">
        <v>129</v>
      </c>
    </row>
    <row r="24" spans="1:22" x14ac:dyDescent="0.25">
      <c r="A24" s="6">
        <v>10023</v>
      </c>
      <c r="B24" s="6">
        <v>1769</v>
      </c>
      <c r="C24" s="11">
        <v>45075</v>
      </c>
      <c r="D24" s="11">
        <v>45084</v>
      </c>
      <c r="E24" s="6" t="s">
        <v>79</v>
      </c>
      <c r="F24" s="6" t="s">
        <v>86</v>
      </c>
      <c r="G24" s="6" t="s">
        <v>80</v>
      </c>
      <c r="H24" s="6" t="s">
        <v>105</v>
      </c>
      <c r="I24" s="6" t="s">
        <v>94</v>
      </c>
      <c r="J24" s="6" t="s">
        <v>95</v>
      </c>
      <c r="K24" s="6" t="s">
        <v>108</v>
      </c>
      <c r="L24" s="6">
        <v>2</v>
      </c>
      <c r="M24" s="6">
        <v>2801.74</v>
      </c>
      <c r="N24" s="6">
        <v>20</v>
      </c>
      <c r="V24" t="s">
        <v>130</v>
      </c>
    </row>
    <row r="25" spans="1:22" x14ac:dyDescent="0.25">
      <c r="A25" s="6">
        <v>10024</v>
      </c>
      <c r="B25" s="6">
        <v>1343</v>
      </c>
      <c r="C25" s="11">
        <v>45075</v>
      </c>
      <c r="D25" s="11">
        <v>45082</v>
      </c>
      <c r="E25" s="6" t="s">
        <v>85</v>
      </c>
      <c r="F25" s="6" t="s">
        <v>104</v>
      </c>
      <c r="G25" s="6" t="s">
        <v>80</v>
      </c>
      <c r="H25" s="6" t="s">
        <v>107</v>
      </c>
      <c r="I25" s="6" t="s">
        <v>112</v>
      </c>
      <c r="J25" s="6" t="s">
        <v>114</v>
      </c>
      <c r="K25" s="6" t="s">
        <v>108</v>
      </c>
      <c r="L25" s="6">
        <v>1</v>
      </c>
      <c r="M25" s="6">
        <v>3606.31</v>
      </c>
      <c r="N25" s="6">
        <v>0</v>
      </c>
      <c r="V25" t="s">
        <v>131</v>
      </c>
    </row>
    <row r="26" spans="1:22" x14ac:dyDescent="0.25">
      <c r="A26" s="6">
        <v>10025</v>
      </c>
      <c r="B26" s="6">
        <v>1491</v>
      </c>
      <c r="C26" s="11">
        <v>45052</v>
      </c>
      <c r="D26" s="11">
        <v>45061</v>
      </c>
      <c r="E26" s="6" t="s">
        <v>100</v>
      </c>
      <c r="F26" s="6" t="s">
        <v>101</v>
      </c>
      <c r="G26" s="6" t="s">
        <v>93</v>
      </c>
      <c r="H26" s="6" t="s">
        <v>107</v>
      </c>
      <c r="I26" s="6" t="s">
        <v>120</v>
      </c>
      <c r="J26" s="6" t="s">
        <v>122</v>
      </c>
      <c r="K26" s="6" t="s">
        <v>108</v>
      </c>
      <c r="L26" s="6">
        <v>6</v>
      </c>
      <c r="M26" s="6">
        <v>3018.94</v>
      </c>
      <c r="N26" s="6">
        <v>5</v>
      </c>
      <c r="V26" t="s">
        <v>132</v>
      </c>
    </row>
    <row r="27" spans="1:22" x14ac:dyDescent="0.25">
      <c r="A27" s="6">
        <v>10026</v>
      </c>
      <c r="B27" s="6">
        <v>1413</v>
      </c>
      <c r="C27" s="11">
        <v>45228</v>
      </c>
      <c r="D27" s="11">
        <v>45231</v>
      </c>
      <c r="E27" s="6" t="s">
        <v>97</v>
      </c>
      <c r="F27" s="6" t="s">
        <v>79</v>
      </c>
      <c r="G27" s="6" t="s">
        <v>93</v>
      </c>
      <c r="H27" s="6" t="s">
        <v>105</v>
      </c>
      <c r="I27" s="6" t="s">
        <v>115</v>
      </c>
      <c r="J27" s="6" t="s">
        <v>123</v>
      </c>
      <c r="K27" s="6" t="s">
        <v>96</v>
      </c>
      <c r="L27" s="6">
        <v>9</v>
      </c>
      <c r="M27" s="6">
        <v>444.29</v>
      </c>
      <c r="N27" s="6">
        <v>5</v>
      </c>
    </row>
    <row r="28" spans="1:22" x14ac:dyDescent="0.25">
      <c r="A28" s="6">
        <v>10027</v>
      </c>
      <c r="B28" s="6">
        <v>1805</v>
      </c>
      <c r="C28" s="11">
        <v>45286</v>
      </c>
      <c r="D28" s="11">
        <v>45290</v>
      </c>
      <c r="E28" s="6" t="s">
        <v>100</v>
      </c>
      <c r="F28" s="6" t="s">
        <v>104</v>
      </c>
      <c r="G28" s="6" t="s">
        <v>87</v>
      </c>
      <c r="H28" s="6" t="s">
        <v>98</v>
      </c>
      <c r="I28" s="6" t="s">
        <v>120</v>
      </c>
      <c r="J28" s="6" t="s">
        <v>121</v>
      </c>
      <c r="K28" s="6" t="s">
        <v>84</v>
      </c>
      <c r="L28" s="6">
        <v>3</v>
      </c>
      <c r="M28" s="6">
        <v>3599.15</v>
      </c>
      <c r="N28" s="6">
        <v>5</v>
      </c>
    </row>
    <row r="29" spans="1:22" x14ac:dyDescent="0.25">
      <c r="A29" s="6">
        <v>10028</v>
      </c>
      <c r="B29" s="6">
        <v>1385</v>
      </c>
      <c r="C29" s="11">
        <v>45164</v>
      </c>
      <c r="D29" s="11">
        <v>45172</v>
      </c>
      <c r="E29" s="6" t="s">
        <v>103</v>
      </c>
      <c r="F29" s="6" t="s">
        <v>86</v>
      </c>
      <c r="G29" s="6" t="s">
        <v>87</v>
      </c>
      <c r="H29" s="6" t="s">
        <v>88</v>
      </c>
      <c r="I29" s="6" t="s">
        <v>112</v>
      </c>
      <c r="J29" s="6" t="s">
        <v>114</v>
      </c>
      <c r="K29" s="6" t="s">
        <v>96</v>
      </c>
      <c r="L29" s="6">
        <v>6</v>
      </c>
      <c r="M29" s="6">
        <v>3206.63</v>
      </c>
      <c r="N29" s="6">
        <v>20</v>
      </c>
    </row>
    <row r="30" spans="1:22" x14ac:dyDescent="0.25">
      <c r="A30" s="6">
        <v>10029</v>
      </c>
      <c r="B30" s="6">
        <v>1191</v>
      </c>
      <c r="C30" s="11">
        <v>45061</v>
      </c>
      <c r="D30" s="11">
        <v>45067</v>
      </c>
      <c r="E30" s="6" t="s">
        <v>109</v>
      </c>
      <c r="F30" s="6" t="s">
        <v>92</v>
      </c>
      <c r="G30" s="6" t="s">
        <v>80</v>
      </c>
      <c r="H30" s="6" t="s">
        <v>81</v>
      </c>
      <c r="I30" s="6" t="s">
        <v>89</v>
      </c>
      <c r="J30" s="6" t="s">
        <v>90</v>
      </c>
      <c r="K30" s="6" t="s">
        <v>96</v>
      </c>
      <c r="L30" s="6">
        <v>3</v>
      </c>
      <c r="M30" s="6">
        <v>759.47</v>
      </c>
      <c r="N30" s="6">
        <v>15</v>
      </c>
    </row>
    <row r="31" spans="1:22" x14ac:dyDescent="0.25">
      <c r="A31" s="6">
        <v>10030</v>
      </c>
      <c r="B31" s="6">
        <v>1955</v>
      </c>
      <c r="C31" s="11">
        <v>45077</v>
      </c>
      <c r="D31" s="11">
        <v>45082</v>
      </c>
      <c r="E31" s="6" t="s">
        <v>109</v>
      </c>
      <c r="F31" s="6" t="s">
        <v>86</v>
      </c>
      <c r="G31" s="6" t="s">
        <v>93</v>
      </c>
      <c r="H31" s="6" t="s">
        <v>98</v>
      </c>
      <c r="I31" s="6" t="s">
        <v>89</v>
      </c>
      <c r="J31" s="6" t="s">
        <v>124</v>
      </c>
      <c r="K31" s="6" t="s">
        <v>108</v>
      </c>
      <c r="L31" s="6">
        <v>1</v>
      </c>
      <c r="M31" s="6">
        <v>349.38</v>
      </c>
      <c r="N31" s="6">
        <v>10</v>
      </c>
    </row>
    <row r="32" spans="1:22" x14ac:dyDescent="0.25">
      <c r="A32" s="6">
        <v>10031</v>
      </c>
      <c r="B32" s="6">
        <v>1276</v>
      </c>
      <c r="C32" s="11">
        <v>45162</v>
      </c>
      <c r="D32" s="11">
        <v>45166</v>
      </c>
      <c r="E32" s="6" t="s">
        <v>78</v>
      </c>
      <c r="F32" s="6" t="s">
        <v>92</v>
      </c>
      <c r="G32" s="6" t="s">
        <v>93</v>
      </c>
      <c r="H32" s="6" t="s">
        <v>105</v>
      </c>
      <c r="I32" s="6" t="s">
        <v>120</v>
      </c>
      <c r="J32" s="6" t="s">
        <v>125</v>
      </c>
      <c r="K32" s="6" t="s">
        <v>110</v>
      </c>
      <c r="L32" s="6">
        <v>5</v>
      </c>
      <c r="M32" s="6">
        <v>2295.65</v>
      </c>
      <c r="N32" s="6">
        <v>20</v>
      </c>
    </row>
    <row r="33" spans="1:14" x14ac:dyDescent="0.25">
      <c r="A33" s="6">
        <v>10032</v>
      </c>
      <c r="B33" s="6">
        <v>1160</v>
      </c>
      <c r="C33" s="11">
        <v>45150</v>
      </c>
      <c r="D33" s="11">
        <v>45158</v>
      </c>
      <c r="E33" s="6" t="s">
        <v>78</v>
      </c>
      <c r="F33" s="6" t="s">
        <v>104</v>
      </c>
      <c r="G33" s="6" t="s">
        <v>93</v>
      </c>
      <c r="H33" s="6" t="s">
        <v>81</v>
      </c>
      <c r="I33" s="6" t="s">
        <v>82</v>
      </c>
      <c r="J33" s="6" t="s">
        <v>106</v>
      </c>
      <c r="K33" s="6" t="s">
        <v>84</v>
      </c>
      <c r="L33" s="6">
        <v>4</v>
      </c>
      <c r="M33" s="6">
        <v>750.74</v>
      </c>
      <c r="N33" s="6">
        <v>5</v>
      </c>
    </row>
    <row r="34" spans="1:14" x14ac:dyDescent="0.25">
      <c r="A34" s="6">
        <v>10033</v>
      </c>
      <c r="B34" s="6">
        <v>1459</v>
      </c>
      <c r="C34" s="11">
        <v>45129</v>
      </c>
      <c r="D34" s="11">
        <v>45130</v>
      </c>
      <c r="E34" s="6" t="s">
        <v>85</v>
      </c>
      <c r="F34" s="6" t="s">
        <v>101</v>
      </c>
      <c r="G34" s="6" t="s">
        <v>80</v>
      </c>
      <c r="H34" s="6" t="s">
        <v>107</v>
      </c>
      <c r="I34" s="6" t="s">
        <v>120</v>
      </c>
      <c r="J34" s="6" t="s">
        <v>122</v>
      </c>
      <c r="K34" s="6" t="s">
        <v>108</v>
      </c>
      <c r="L34" s="6">
        <v>7</v>
      </c>
      <c r="M34" s="6">
        <v>3363.18</v>
      </c>
      <c r="N34" s="6">
        <v>20</v>
      </c>
    </row>
    <row r="35" spans="1:14" x14ac:dyDescent="0.25">
      <c r="A35" s="6">
        <v>10034</v>
      </c>
      <c r="B35" s="6">
        <v>1313</v>
      </c>
      <c r="C35" s="11">
        <v>45182</v>
      </c>
      <c r="D35" s="11">
        <v>45191</v>
      </c>
      <c r="E35" s="6" t="s">
        <v>97</v>
      </c>
      <c r="F35" s="6" t="s">
        <v>86</v>
      </c>
      <c r="G35" s="6" t="s">
        <v>93</v>
      </c>
      <c r="H35" s="6" t="s">
        <v>88</v>
      </c>
      <c r="I35" s="6" t="s">
        <v>94</v>
      </c>
      <c r="J35" s="6" t="s">
        <v>111</v>
      </c>
      <c r="K35" s="6" t="s">
        <v>110</v>
      </c>
      <c r="L35" s="6">
        <v>6</v>
      </c>
      <c r="M35" s="6">
        <v>1529.59</v>
      </c>
      <c r="N35" s="6">
        <v>0</v>
      </c>
    </row>
    <row r="36" spans="1:14" x14ac:dyDescent="0.25">
      <c r="A36" s="6">
        <v>10035</v>
      </c>
      <c r="B36" s="6">
        <v>1021</v>
      </c>
      <c r="C36" s="11">
        <v>45012</v>
      </c>
      <c r="D36" s="11">
        <v>45013</v>
      </c>
      <c r="E36" s="6" t="s">
        <v>103</v>
      </c>
      <c r="F36" s="6" t="s">
        <v>92</v>
      </c>
      <c r="G36" s="6" t="s">
        <v>93</v>
      </c>
      <c r="H36" s="6" t="s">
        <v>107</v>
      </c>
      <c r="I36" s="6" t="s">
        <v>94</v>
      </c>
      <c r="J36" s="6" t="s">
        <v>111</v>
      </c>
      <c r="K36" s="6" t="s">
        <v>110</v>
      </c>
      <c r="L36" s="6">
        <v>7</v>
      </c>
      <c r="M36" s="6">
        <v>3664.64</v>
      </c>
      <c r="N36" s="6">
        <v>5</v>
      </c>
    </row>
    <row r="37" spans="1:14" x14ac:dyDescent="0.25">
      <c r="A37" s="6">
        <v>10036</v>
      </c>
      <c r="B37" s="6">
        <v>1252</v>
      </c>
      <c r="C37" s="11">
        <v>45076</v>
      </c>
      <c r="D37" s="11">
        <v>45084</v>
      </c>
      <c r="E37" s="6" t="s">
        <v>79</v>
      </c>
      <c r="F37" s="6" t="s">
        <v>101</v>
      </c>
      <c r="G37" s="6" t="s">
        <v>80</v>
      </c>
      <c r="H37" s="6" t="s">
        <v>105</v>
      </c>
      <c r="I37" s="6" t="s">
        <v>89</v>
      </c>
      <c r="J37" s="6" t="s">
        <v>90</v>
      </c>
      <c r="K37" s="6" t="s">
        <v>91</v>
      </c>
      <c r="L37" s="6">
        <v>5</v>
      </c>
      <c r="M37" s="6">
        <v>2327.9</v>
      </c>
      <c r="N37" s="6">
        <v>0</v>
      </c>
    </row>
    <row r="38" spans="1:14" x14ac:dyDescent="0.25">
      <c r="A38" s="6">
        <v>10037</v>
      </c>
      <c r="B38" s="6">
        <v>1747</v>
      </c>
      <c r="C38" s="11">
        <v>45161</v>
      </c>
      <c r="D38" s="11">
        <v>45165</v>
      </c>
      <c r="E38" s="6" t="s">
        <v>100</v>
      </c>
      <c r="F38" s="6" t="s">
        <v>79</v>
      </c>
      <c r="G38" s="6" t="s">
        <v>87</v>
      </c>
      <c r="H38" s="6" t="s">
        <v>81</v>
      </c>
      <c r="I38" s="6" t="s">
        <v>82</v>
      </c>
      <c r="J38" s="6" t="s">
        <v>118</v>
      </c>
      <c r="K38" s="6" t="s">
        <v>84</v>
      </c>
      <c r="L38" s="6">
        <v>4</v>
      </c>
      <c r="M38" s="6">
        <v>853.29</v>
      </c>
      <c r="N38" s="6">
        <v>5</v>
      </c>
    </row>
    <row r="39" spans="1:14" x14ac:dyDescent="0.25">
      <c r="A39" s="6">
        <v>10038</v>
      </c>
      <c r="B39" s="6">
        <v>1856</v>
      </c>
      <c r="C39" s="11">
        <v>45271</v>
      </c>
      <c r="D39" s="11">
        <v>45280</v>
      </c>
      <c r="E39" s="6" t="s">
        <v>85</v>
      </c>
      <c r="F39" s="6" t="s">
        <v>92</v>
      </c>
      <c r="G39" s="6" t="s">
        <v>87</v>
      </c>
      <c r="H39" s="6" t="s">
        <v>105</v>
      </c>
      <c r="I39" s="6" t="s">
        <v>112</v>
      </c>
      <c r="J39" s="6" t="s">
        <v>126</v>
      </c>
      <c r="K39" s="6" t="s">
        <v>110</v>
      </c>
      <c r="L39" s="6">
        <v>7</v>
      </c>
      <c r="M39" s="6">
        <v>687.46</v>
      </c>
      <c r="N39" s="6">
        <v>20</v>
      </c>
    </row>
    <row r="40" spans="1:14" x14ac:dyDescent="0.25">
      <c r="A40" s="6">
        <v>10039</v>
      </c>
      <c r="B40" s="6">
        <v>1560</v>
      </c>
      <c r="C40" s="11">
        <v>44948</v>
      </c>
      <c r="D40" s="11">
        <v>44953</v>
      </c>
      <c r="E40" s="6" t="s">
        <v>97</v>
      </c>
      <c r="F40" s="6" t="s">
        <v>104</v>
      </c>
      <c r="G40" s="6" t="s">
        <v>80</v>
      </c>
      <c r="H40" s="6" t="s">
        <v>81</v>
      </c>
      <c r="I40" s="6" t="s">
        <v>94</v>
      </c>
      <c r="J40" s="6" t="s">
        <v>111</v>
      </c>
      <c r="K40" s="6" t="s">
        <v>108</v>
      </c>
      <c r="L40" s="6">
        <v>7</v>
      </c>
      <c r="M40" s="6">
        <v>2369.42</v>
      </c>
      <c r="N40" s="6">
        <v>15</v>
      </c>
    </row>
    <row r="41" spans="1:14" x14ac:dyDescent="0.25">
      <c r="A41" s="6">
        <v>10040</v>
      </c>
      <c r="B41" s="6">
        <v>1474</v>
      </c>
      <c r="C41" s="11">
        <v>45274</v>
      </c>
      <c r="D41" s="11">
        <v>45277</v>
      </c>
      <c r="E41" s="6" t="s">
        <v>78</v>
      </c>
      <c r="F41" s="6" t="s">
        <v>79</v>
      </c>
      <c r="G41" s="6" t="s">
        <v>93</v>
      </c>
      <c r="H41" s="6" t="s">
        <v>98</v>
      </c>
      <c r="I41" s="6" t="s">
        <v>89</v>
      </c>
      <c r="J41" s="6" t="s">
        <v>90</v>
      </c>
      <c r="K41" s="6" t="s">
        <v>91</v>
      </c>
      <c r="L41" s="6">
        <v>6</v>
      </c>
      <c r="M41" s="6">
        <v>3083.25</v>
      </c>
      <c r="N41" s="6">
        <v>10</v>
      </c>
    </row>
    <row r="42" spans="1:14" x14ac:dyDescent="0.25">
      <c r="A42" s="6">
        <v>10041</v>
      </c>
      <c r="B42" s="6">
        <v>1058</v>
      </c>
      <c r="C42" s="11">
        <v>45211</v>
      </c>
      <c r="D42" s="11">
        <v>45220</v>
      </c>
      <c r="E42" s="6" t="s">
        <v>100</v>
      </c>
      <c r="F42" s="6" t="s">
        <v>79</v>
      </c>
      <c r="G42" s="6" t="s">
        <v>80</v>
      </c>
      <c r="H42" s="6" t="s">
        <v>88</v>
      </c>
      <c r="I42" s="6" t="s">
        <v>115</v>
      </c>
      <c r="J42" s="6" t="s">
        <v>127</v>
      </c>
      <c r="K42" s="6" t="s">
        <v>84</v>
      </c>
      <c r="L42" s="6">
        <v>8</v>
      </c>
      <c r="M42" s="6">
        <v>3158.8</v>
      </c>
      <c r="N42" s="6">
        <v>0</v>
      </c>
    </row>
    <row r="43" spans="1:14" x14ac:dyDescent="0.25">
      <c r="A43" s="6">
        <v>10042</v>
      </c>
      <c r="B43" s="6">
        <v>1510</v>
      </c>
      <c r="C43" s="11">
        <v>45195</v>
      </c>
      <c r="D43" s="11">
        <v>45204</v>
      </c>
      <c r="E43" s="6" t="s">
        <v>78</v>
      </c>
      <c r="F43" s="6" t="s">
        <v>117</v>
      </c>
      <c r="G43" s="6" t="s">
        <v>87</v>
      </c>
      <c r="H43" s="6" t="s">
        <v>98</v>
      </c>
      <c r="I43" s="6" t="s">
        <v>89</v>
      </c>
      <c r="J43" s="6" t="s">
        <v>90</v>
      </c>
      <c r="K43" s="6" t="s">
        <v>96</v>
      </c>
      <c r="L43" s="6">
        <v>4</v>
      </c>
      <c r="M43" s="6">
        <v>1211.67</v>
      </c>
      <c r="N43" s="6">
        <v>20</v>
      </c>
    </row>
    <row r="44" spans="1:14" x14ac:dyDescent="0.25">
      <c r="A44" s="6">
        <v>10043</v>
      </c>
      <c r="B44" s="6">
        <v>1681</v>
      </c>
      <c r="C44" s="11">
        <v>45184</v>
      </c>
      <c r="D44" s="11">
        <v>45188</v>
      </c>
      <c r="E44" s="6" t="s">
        <v>100</v>
      </c>
      <c r="F44" s="6" t="s">
        <v>86</v>
      </c>
      <c r="G44" s="6" t="s">
        <v>87</v>
      </c>
      <c r="H44" s="6" t="s">
        <v>98</v>
      </c>
      <c r="I44" s="6" t="s">
        <v>94</v>
      </c>
      <c r="J44" s="6" t="s">
        <v>111</v>
      </c>
      <c r="K44" s="6" t="s">
        <v>108</v>
      </c>
      <c r="L44" s="6">
        <v>5</v>
      </c>
      <c r="M44" s="6">
        <v>936.35</v>
      </c>
      <c r="N44" s="6">
        <v>15</v>
      </c>
    </row>
    <row r="45" spans="1:14" x14ac:dyDescent="0.25">
      <c r="A45" s="6">
        <v>10044</v>
      </c>
      <c r="B45" s="6">
        <v>1475</v>
      </c>
      <c r="C45" s="11">
        <v>44955</v>
      </c>
      <c r="D45" s="11">
        <v>44959</v>
      </c>
      <c r="E45" s="6" t="s">
        <v>79</v>
      </c>
      <c r="F45" s="6" t="s">
        <v>92</v>
      </c>
      <c r="G45" s="6" t="s">
        <v>80</v>
      </c>
      <c r="H45" s="6" t="s">
        <v>105</v>
      </c>
      <c r="I45" s="6" t="s">
        <v>94</v>
      </c>
      <c r="J45" s="6" t="s">
        <v>111</v>
      </c>
      <c r="K45" s="6" t="s">
        <v>110</v>
      </c>
      <c r="L45" s="6">
        <v>4</v>
      </c>
      <c r="M45" s="6">
        <v>214.51</v>
      </c>
      <c r="N45" s="6">
        <v>20</v>
      </c>
    </row>
    <row r="46" spans="1:14" x14ac:dyDescent="0.25">
      <c r="A46" s="6">
        <v>10045</v>
      </c>
      <c r="B46" s="6">
        <v>1699</v>
      </c>
      <c r="C46" s="11">
        <v>45139</v>
      </c>
      <c r="D46" s="11">
        <v>45147</v>
      </c>
      <c r="E46" s="6" t="s">
        <v>97</v>
      </c>
      <c r="F46" s="6" t="s">
        <v>79</v>
      </c>
      <c r="G46" s="6" t="s">
        <v>80</v>
      </c>
      <c r="H46" s="6" t="s">
        <v>88</v>
      </c>
      <c r="I46" s="6" t="s">
        <v>89</v>
      </c>
      <c r="J46" s="6" t="s">
        <v>124</v>
      </c>
      <c r="K46" s="6" t="s">
        <v>110</v>
      </c>
      <c r="L46" s="6">
        <v>1</v>
      </c>
      <c r="M46" s="6">
        <v>2764.92</v>
      </c>
      <c r="N46" s="6">
        <v>0</v>
      </c>
    </row>
    <row r="47" spans="1:14" x14ac:dyDescent="0.25">
      <c r="A47" s="6">
        <v>10046</v>
      </c>
      <c r="B47" s="6">
        <v>1975</v>
      </c>
      <c r="C47" s="11">
        <v>45209</v>
      </c>
      <c r="D47" s="11">
        <v>45211</v>
      </c>
      <c r="E47" s="6" t="s">
        <v>100</v>
      </c>
      <c r="F47" s="6" t="s">
        <v>117</v>
      </c>
      <c r="G47" s="6" t="s">
        <v>87</v>
      </c>
      <c r="H47" s="6" t="s">
        <v>81</v>
      </c>
      <c r="I47" s="6" t="s">
        <v>112</v>
      </c>
      <c r="J47" s="6" t="s">
        <v>114</v>
      </c>
      <c r="K47" s="6" t="s">
        <v>108</v>
      </c>
      <c r="L47" s="6">
        <v>8</v>
      </c>
      <c r="M47" s="6">
        <v>444.79</v>
      </c>
      <c r="N47" s="6">
        <v>10</v>
      </c>
    </row>
    <row r="48" spans="1:14" x14ac:dyDescent="0.25">
      <c r="A48" s="6">
        <v>10047</v>
      </c>
      <c r="B48" s="6">
        <v>1782</v>
      </c>
      <c r="C48" s="11">
        <v>44976</v>
      </c>
      <c r="D48" s="11">
        <v>44985</v>
      </c>
      <c r="E48" s="6" t="s">
        <v>103</v>
      </c>
      <c r="F48" s="6" t="s">
        <v>104</v>
      </c>
      <c r="G48" s="6" t="s">
        <v>80</v>
      </c>
      <c r="H48" s="6" t="s">
        <v>81</v>
      </c>
      <c r="I48" s="6" t="s">
        <v>120</v>
      </c>
      <c r="J48" s="6" t="s">
        <v>125</v>
      </c>
      <c r="K48" s="6" t="s">
        <v>110</v>
      </c>
      <c r="L48" s="6">
        <v>1</v>
      </c>
      <c r="M48" s="6">
        <v>1769.93</v>
      </c>
      <c r="N48" s="6">
        <v>20</v>
      </c>
    </row>
    <row r="49" spans="1:14" x14ac:dyDescent="0.25">
      <c r="A49" s="6">
        <v>10048</v>
      </c>
      <c r="B49" s="6">
        <v>1189</v>
      </c>
      <c r="C49" s="11">
        <v>45021</v>
      </c>
      <c r="D49" s="11">
        <v>45027</v>
      </c>
      <c r="E49" s="6" t="s">
        <v>85</v>
      </c>
      <c r="F49" s="6" t="s">
        <v>101</v>
      </c>
      <c r="G49" s="6" t="s">
        <v>87</v>
      </c>
      <c r="H49" s="6" t="s">
        <v>107</v>
      </c>
      <c r="I49" s="6" t="s">
        <v>94</v>
      </c>
      <c r="J49" s="6" t="s">
        <v>128</v>
      </c>
      <c r="K49" s="6" t="s">
        <v>91</v>
      </c>
      <c r="L49" s="6">
        <v>5</v>
      </c>
      <c r="M49" s="6">
        <v>2466.48</v>
      </c>
      <c r="N49" s="6">
        <v>5</v>
      </c>
    </row>
    <row r="50" spans="1:14" x14ac:dyDescent="0.25">
      <c r="A50" s="6">
        <v>10049</v>
      </c>
      <c r="B50" s="6">
        <v>1957</v>
      </c>
      <c r="C50" s="11">
        <v>45014</v>
      </c>
      <c r="D50" s="11">
        <v>45023</v>
      </c>
      <c r="E50" s="6" t="s">
        <v>109</v>
      </c>
      <c r="F50" s="6" t="s">
        <v>92</v>
      </c>
      <c r="G50" s="6" t="s">
        <v>80</v>
      </c>
      <c r="H50" s="6" t="s">
        <v>81</v>
      </c>
      <c r="I50" s="6" t="s">
        <v>89</v>
      </c>
      <c r="J50" s="6" t="s">
        <v>90</v>
      </c>
      <c r="K50" s="6" t="s">
        <v>84</v>
      </c>
      <c r="L50" s="6">
        <v>6</v>
      </c>
      <c r="M50" s="6">
        <v>3757.87</v>
      </c>
      <c r="N50" s="6">
        <v>15</v>
      </c>
    </row>
    <row r="51" spans="1:14" x14ac:dyDescent="0.25">
      <c r="A51" s="6">
        <v>10050</v>
      </c>
      <c r="B51" s="6">
        <v>1686</v>
      </c>
      <c r="C51" s="11">
        <v>44970</v>
      </c>
      <c r="D51" s="11">
        <v>44978</v>
      </c>
      <c r="E51" s="6" t="s">
        <v>103</v>
      </c>
      <c r="F51" s="6" t="s">
        <v>79</v>
      </c>
      <c r="G51" s="6" t="s">
        <v>80</v>
      </c>
      <c r="H51" s="6" t="s">
        <v>105</v>
      </c>
      <c r="I51" s="6" t="s">
        <v>89</v>
      </c>
      <c r="J51" s="6" t="s">
        <v>124</v>
      </c>
      <c r="K51" s="6" t="s">
        <v>91</v>
      </c>
      <c r="L51" s="6">
        <v>6</v>
      </c>
      <c r="M51" s="6">
        <v>1350.44</v>
      </c>
      <c r="N51" s="6">
        <v>20</v>
      </c>
    </row>
    <row r="52" spans="1:14" x14ac:dyDescent="0.25">
      <c r="A52" s="6">
        <v>10052</v>
      </c>
      <c r="B52" s="6">
        <v>1562</v>
      </c>
      <c r="C52" s="11">
        <v>45097</v>
      </c>
      <c r="D52" s="11">
        <v>45098</v>
      </c>
      <c r="E52" s="6" t="s">
        <v>85</v>
      </c>
      <c r="F52" s="6" t="s">
        <v>117</v>
      </c>
      <c r="G52" s="6" t="s">
        <v>87</v>
      </c>
      <c r="H52" s="6" t="s">
        <v>98</v>
      </c>
      <c r="I52" s="6" t="s">
        <v>120</v>
      </c>
      <c r="J52" s="6" t="s">
        <v>125</v>
      </c>
      <c r="K52" s="6" t="s">
        <v>96</v>
      </c>
      <c r="L52" s="6">
        <v>3</v>
      </c>
      <c r="M52" s="6">
        <v>2668.52</v>
      </c>
      <c r="N52" s="6">
        <v>5</v>
      </c>
    </row>
    <row r="53" spans="1:14" x14ac:dyDescent="0.25">
      <c r="A53" s="6">
        <v>10053</v>
      </c>
      <c r="B53" s="6">
        <v>1875</v>
      </c>
      <c r="C53" s="11">
        <v>45115</v>
      </c>
      <c r="D53" s="11">
        <v>45118</v>
      </c>
      <c r="E53" s="6" t="s">
        <v>109</v>
      </c>
      <c r="F53" s="6" t="s">
        <v>79</v>
      </c>
      <c r="G53" s="6" t="s">
        <v>80</v>
      </c>
      <c r="H53" s="6" t="s">
        <v>98</v>
      </c>
      <c r="I53" s="6" t="s">
        <v>115</v>
      </c>
      <c r="J53" s="6" t="s">
        <v>127</v>
      </c>
      <c r="K53" s="6" t="s">
        <v>84</v>
      </c>
      <c r="L53" s="6">
        <v>5</v>
      </c>
      <c r="M53" s="6">
        <v>2534.0700000000002</v>
      </c>
      <c r="N53" s="6">
        <v>10</v>
      </c>
    </row>
    <row r="54" spans="1:14" x14ac:dyDescent="0.25">
      <c r="A54" s="6">
        <v>10054</v>
      </c>
      <c r="B54" s="6">
        <v>1566</v>
      </c>
      <c r="C54" s="11">
        <v>45279</v>
      </c>
      <c r="D54" s="11">
        <v>45281</v>
      </c>
      <c r="E54" s="6" t="s">
        <v>103</v>
      </c>
      <c r="F54" s="6" t="s">
        <v>86</v>
      </c>
      <c r="G54" s="6" t="s">
        <v>87</v>
      </c>
      <c r="H54" s="6" t="s">
        <v>88</v>
      </c>
      <c r="I54" s="6" t="s">
        <v>112</v>
      </c>
      <c r="J54" s="6" t="s">
        <v>113</v>
      </c>
      <c r="K54" s="6" t="s">
        <v>84</v>
      </c>
      <c r="L54" s="6">
        <v>8</v>
      </c>
      <c r="M54" s="6">
        <v>1428.62</v>
      </c>
      <c r="N54" s="6">
        <v>10</v>
      </c>
    </row>
    <row r="55" spans="1:14" x14ac:dyDescent="0.25">
      <c r="A55" s="6">
        <v>10055</v>
      </c>
      <c r="B55" s="6">
        <v>1243</v>
      </c>
      <c r="C55" s="11">
        <v>45110</v>
      </c>
      <c r="D55" s="11">
        <v>45115</v>
      </c>
      <c r="E55" s="6" t="s">
        <v>100</v>
      </c>
      <c r="F55" s="6" t="s">
        <v>79</v>
      </c>
      <c r="G55" s="6" t="s">
        <v>87</v>
      </c>
      <c r="H55" s="6" t="s">
        <v>81</v>
      </c>
      <c r="I55" s="6" t="s">
        <v>115</v>
      </c>
      <c r="J55" s="6" t="s">
        <v>127</v>
      </c>
      <c r="K55" s="6" t="s">
        <v>108</v>
      </c>
      <c r="L55" s="6">
        <v>2</v>
      </c>
      <c r="M55" s="6">
        <v>3723.19</v>
      </c>
      <c r="N55" s="6">
        <v>5</v>
      </c>
    </row>
    <row r="56" spans="1:14" x14ac:dyDescent="0.25">
      <c r="A56" s="6">
        <v>10056</v>
      </c>
      <c r="B56" s="6">
        <v>1831</v>
      </c>
      <c r="C56" s="11">
        <v>44929</v>
      </c>
      <c r="D56" s="11">
        <v>44934</v>
      </c>
      <c r="E56" s="6" t="s">
        <v>100</v>
      </c>
      <c r="F56" s="6" t="s">
        <v>92</v>
      </c>
      <c r="G56" s="6" t="s">
        <v>80</v>
      </c>
      <c r="H56" s="6" t="s">
        <v>105</v>
      </c>
      <c r="I56" s="6" t="s">
        <v>120</v>
      </c>
      <c r="J56" s="6" t="s">
        <v>125</v>
      </c>
      <c r="K56" s="6" t="s">
        <v>108</v>
      </c>
      <c r="L56" s="6">
        <v>6</v>
      </c>
      <c r="M56" s="6">
        <v>3402.72</v>
      </c>
      <c r="N56" s="6">
        <v>15</v>
      </c>
    </row>
    <row r="57" spans="1:14" x14ac:dyDescent="0.25">
      <c r="A57" s="6">
        <v>10057</v>
      </c>
      <c r="B57" s="6">
        <v>1504</v>
      </c>
      <c r="C57" s="11">
        <v>45117</v>
      </c>
      <c r="D57" s="11">
        <v>45122</v>
      </c>
      <c r="E57" s="6" t="s">
        <v>100</v>
      </c>
      <c r="F57" s="6" t="s">
        <v>92</v>
      </c>
      <c r="G57" s="6" t="s">
        <v>80</v>
      </c>
      <c r="H57" s="6" t="s">
        <v>88</v>
      </c>
      <c r="I57" s="6" t="s">
        <v>120</v>
      </c>
      <c r="J57" s="6" t="s">
        <v>121</v>
      </c>
      <c r="K57" s="6" t="s">
        <v>96</v>
      </c>
      <c r="L57" s="6">
        <v>9</v>
      </c>
      <c r="M57" s="6">
        <v>1012.33</v>
      </c>
      <c r="N57" s="6">
        <v>20</v>
      </c>
    </row>
    <row r="58" spans="1:14" x14ac:dyDescent="0.25">
      <c r="A58" s="6">
        <v>10059</v>
      </c>
      <c r="B58" s="6">
        <v>1484</v>
      </c>
      <c r="C58" s="11">
        <v>44945</v>
      </c>
      <c r="D58" s="11">
        <v>44950</v>
      </c>
      <c r="E58" s="6" t="s">
        <v>103</v>
      </c>
      <c r="F58" s="6" t="s">
        <v>104</v>
      </c>
      <c r="G58" s="6" t="s">
        <v>87</v>
      </c>
      <c r="H58" s="6" t="s">
        <v>105</v>
      </c>
      <c r="I58" s="6" t="s">
        <v>115</v>
      </c>
      <c r="J58" s="6" t="s">
        <v>127</v>
      </c>
      <c r="K58" s="6" t="s">
        <v>96</v>
      </c>
      <c r="L58" s="6">
        <v>8</v>
      </c>
      <c r="M58" s="6">
        <v>2122.36</v>
      </c>
      <c r="N58" s="6">
        <v>0</v>
      </c>
    </row>
    <row r="59" spans="1:14" x14ac:dyDescent="0.25">
      <c r="A59" s="6">
        <v>10060</v>
      </c>
      <c r="B59" s="6">
        <v>1818</v>
      </c>
      <c r="C59" s="11">
        <v>44949</v>
      </c>
      <c r="D59" s="11">
        <v>44952</v>
      </c>
      <c r="E59" s="6" t="s">
        <v>109</v>
      </c>
      <c r="F59" s="6" t="s">
        <v>104</v>
      </c>
      <c r="G59" s="6" t="s">
        <v>93</v>
      </c>
      <c r="H59" s="6" t="s">
        <v>105</v>
      </c>
      <c r="I59" s="6" t="s">
        <v>120</v>
      </c>
      <c r="J59" s="6" t="s">
        <v>125</v>
      </c>
      <c r="K59" s="6" t="s">
        <v>108</v>
      </c>
      <c r="L59" s="6">
        <v>8</v>
      </c>
      <c r="M59" s="6">
        <v>3128.25</v>
      </c>
      <c r="N59" s="6">
        <v>15</v>
      </c>
    </row>
    <row r="60" spans="1:14" x14ac:dyDescent="0.25">
      <c r="A60" s="6">
        <v>10061</v>
      </c>
      <c r="B60" s="6">
        <v>1646</v>
      </c>
      <c r="C60" s="11">
        <v>44956</v>
      </c>
      <c r="D60" s="11">
        <v>44957</v>
      </c>
      <c r="E60" s="6" t="s">
        <v>100</v>
      </c>
      <c r="F60" s="6" t="s">
        <v>117</v>
      </c>
      <c r="G60" s="6" t="s">
        <v>87</v>
      </c>
      <c r="H60" s="6" t="s">
        <v>105</v>
      </c>
      <c r="I60" s="6" t="s">
        <v>89</v>
      </c>
      <c r="J60" s="6" t="s">
        <v>99</v>
      </c>
      <c r="K60" s="6" t="s">
        <v>108</v>
      </c>
      <c r="L60" s="6">
        <v>7</v>
      </c>
      <c r="M60" s="6">
        <v>319.56</v>
      </c>
      <c r="N60" s="6">
        <v>10</v>
      </c>
    </row>
    <row r="61" spans="1:14" x14ac:dyDescent="0.25">
      <c r="A61" s="6">
        <v>10063</v>
      </c>
      <c r="B61" s="6">
        <v>1840</v>
      </c>
      <c r="C61" s="11">
        <v>45034</v>
      </c>
      <c r="D61" s="11">
        <v>45043</v>
      </c>
      <c r="E61" s="6" t="s">
        <v>103</v>
      </c>
      <c r="F61" s="6" t="s">
        <v>86</v>
      </c>
      <c r="G61" s="6" t="s">
        <v>93</v>
      </c>
      <c r="H61" s="6" t="s">
        <v>105</v>
      </c>
      <c r="I61" s="6" t="s">
        <v>120</v>
      </c>
      <c r="J61" s="6" t="s">
        <v>125</v>
      </c>
      <c r="K61" s="6" t="s">
        <v>91</v>
      </c>
      <c r="L61" s="6">
        <v>6</v>
      </c>
      <c r="M61" s="6">
        <v>2645.71</v>
      </c>
      <c r="N61" s="6">
        <v>10</v>
      </c>
    </row>
    <row r="62" spans="1:14" x14ac:dyDescent="0.25">
      <c r="A62" s="6">
        <v>10064</v>
      </c>
      <c r="B62" s="6">
        <v>1166</v>
      </c>
      <c r="C62" s="11">
        <v>45207</v>
      </c>
      <c r="D62" s="11">
        <v>45216</v>
      </c>
      <c r="E62" s="6" t="s">
        <v>103</v>
      </c>
      <c r="F62" s="6" t="s">
        <v>79</v>
      </c>
      <c r="G62" s="6" t="s">
        <v>93</v>
      </c>
      <c r="H62" s="6" t="s">
        <v>81</v>
      </c>
      <c r="I62" s="6" t="s">
        <v>89</v>
      </c>
      <c r="J62" s="6" t="s">
        <v>99</v>
      </c>
      <c r="K62" s="6" t="s">
        <v>110</v>
      </c>
      <c r="L62" s="6">
        <v>2</v>
      </c>
      <c r="M62" s="6">
        <v>1041.2</v>
      </c>
      <c r="N62" s="6">
        <v>15</v>
      </c>
    </row>
    <row r="63" spans="1:14" x14ac:dyDescent="0.25">
      <c r="A63" s="6">
        <v>10065</v>
      </c>
      <c r="B63" s="6">
        <v>1273</v>
      </c>
      <c r="C63" s="11">
        <v>45054</v>
      </c>
      <c r="D63" s="11">
        <v>45058</v>
      </c>
      <c r="E63" s="6" t="s">
        <v>78</v>
      </c>
      <c r="F63" s="6" t="s">
        <v>101</v>
      </c>
      <c r="G63" s="6" t="s">
        <v>80</v>
      </c>
      <c r="H63" s="6" t="s">
        <v>105</v>
      </c>
      <c r="I63" s="6" t="s">
        <v>82</v>
      </c>
      <c r="J63" s="6" t="s">
        <v>106</v>
      </c>
      <c r="K63" s="6" t="s">
        <v>108</v>
      </c>
      <c r="L63" s="6">
        <v>2</v>
      </c>
      <c r="M63" s="6">
        <v>2773.21</v>
      </c>
      <c r="N63" s="6">
        <v>10</v>
      </c>
    </row>
    <row r="64" spans="1:14" x14ac:dyDescent="0.25">
      <c r="A64" s="6">
        <v>10066</v>
      </c>
      <c r="B64" s="6">
        <v>1387</v>
      </c>
      <c r="C64" s="11">
        <v>45155</v>
      </c>
      <c r="D64" s="11">
        <v>45158</v>
      </c>
      <c r="E64" s="6" t="s">
        <v>78</v>
      </c>
      <c r="F64" s="6" t="s">
        <v>86</v>
      </c>
      <c r="G64" s="6" t="s">
        <v>80</v>
      </c>
      <c r="H64" s="6" t="s">
        <v>98</v>
      </c>
      <c r="I64" s="6" t="s">
        <v>120</v>
      </c>
      <c r="J64" s="6" t="s">
        <v>129</v>
      </c>
      <c r="K64" s="6" t="s">
        <v>108</v>
      </c>
      <c r="L64" s="6">
        <v>8</v>
      </c>
      <c r="M64" s="6">
        <v>3769.71</v>
      </c>
      <c r="N64" s="6">
        <v>5</v>
      </c>
    </row>
    <row r="65" spans="1:14" x14ac:dyDescent="0.25">
      <c r="A65" s="6">
        <v>10067</v>
      </c>
      <c r="B65" s="6">
        <v>1600</v>
      </c>
      <c r="C65" s="11">
        <v>45037</v>
      </c>
      <c r="D65" s="11">
        <v>45038</v>
      </c>
      <c r="E65" s="6" t="s">
        <v>79</v>
      </c>
      <c r="F65" s="6" t="s">
        <v>104</v>
      </c>
      <c r="G65" s="6" t="s">
        <v>87</v>
      </c>
      <c r="H65" s="6" t="s">
        <v>105</v>
      </c>
      <c r="I65" s="6" t="s">
        <v>115</v>
      </c>
      <c r="J65" s="6" t="s">
        <v>127</v>
      </c>
      <c r="K65" s="6" t="s">
        <v>91</v>
      </c>
      <c r="L65" s="6">
        <v>1</v>
      </c>
      <c r="M65" s="6">
        <v>330.13</v>
      </c>
      <c r="N65" s="6">
        <v>15</v>
      </c>
    </row>
    <row r="66" spans="1:14" x14ac:dyDescent="0.25">
      <c r="A66" s="6">
        <v>10068</v>
      </c>
      <c r="B66" s="6">
        <v>1315</v>
      </c>
      <c r="C66" s="11">
        <v>45062</v>
      </c>
      <c r="D66" s="11">
        <v>45064</v>
      </c>
      <c r="E66" s="6" t="s">
        <v>97</v>
      </c>
      <c r="F66" s="6" t="s">
        <v>104</v>
      </c>
      <c r="G66" s="6" t="s">
        <v>93</v>
      </c>
      <c r="H66" s="6" t="s">
        <v>107</v>
      </c>
      <c r="I66" s="6" t="s">
        <v>94</v>
      </c>
      <c r="J66" s="6" t="s">
        <v>111</v>
      </c>
      <c r="K66" s="6" t="s">
        <v>91</v>
      </c>
      <c r="L66" s="6">
        <v>6</v>
      </c>
      <c r="M66" s="6">
        <v>1380.66</v>
      </c>
      <c r="N66" s="6">
        <v>0</v>
      </c>
    </row>
    <row r="67" spans="1:14" x14ac:dyDescent="0.25">
      <c r="A67" s="6">
        <v>10069</v>
      </c>
      <c r="B67" s="6">
        <v>1013</v>
      </c>
      <c r="C67" s="11">
        <v>45288</v>
      </c>
      <c r="D67" s="11">
        <v>45296</v>
      </c>
      <c r="E67" s="6" t="s">
        <v>78</v>
      </c>
      <c r="F67" s="6" t="s">
        <v>86</v>
      </c>
      <c r="G67" s="6" t="s">
        <v>80</v>
      </c>
      <c r="H67" s="6" t="s">
        <v>107</v>
      </c>
      <c r="I67" s="6" t="s">
        <v>120</v>
      </c>
      <c r="J67" s="6" t="s">
        <v>125</v>
      </c>
      <c r="K67" s="6" t="s">
        <v>96</v>
      </c>
      <c r="L67" s="6">
        <v>6</v>
      </c>
      <c r="M67" s="6">
        <v>1836.98</v>
      </c>
      <c r="N67" s="6">
        <v>5</v>
      </c>
    </row>
    <row r="68" spans="1:14" x14ac:dyDescent="0.25">
      <c r="A68" s="6">
        <v>10070</v>
      </c>
      <c r="B68" s="6">
        <v>1241</v>
      </c>
      <c r="C68" s="11">
        <v>45112</v>
      </c>
      <c r="D68" s="11">
        <v>45113</v>
      </c>
      <c r="E68" s="6" t="s">
        <v>109</v>
      </c>
      <c r="F68" s="6" t="s">
        <v>104</v>
      </c>
      <c r="G68" s="6" t="s">
        <v>80</v>
      </c>
      <c r="H68" s="6" t="s">
        <v>98</v>
      </c>
      <c r="I68" s="6" t="s">
        <v>94</v>
      </c>
      <c r="J68" s="6" t="s">
        <v>102</v>
      </c>
      <c r="K68" s="6" t="s">
        <v>96</v>
      </c>
      <c r="L68" s="6">
        <v>4</v>
      </c>
      <c r="M68" s="6">
        <v>3612.15</v>
      </c>
      <c r="N68" s="6">
        <v>20</v>
      </c>
    </row>
    <row r="69" spans="1:14" x14ac:dyDescent="0.25">
      <c r="A69" s="6">
        <v>10071</v>
      </c>
      <c r="B69" s="6">
        <v>1776</v>
      </c>
      <c r="C69" s="11">
        <v>45070</v>
      </c>
      <c r="D69" s="11">
        <v>45078</v>
      </c>
      <c r="E69" s="6" t="s">
        <v>78</v>
      </c>
      <c r="F69" s="6" t="s">
        <v>92</v>
      </c>
      <c r="G69" s="6" t="s">
        <v>80</v>
      </c>
      <c r="H69" s="6" t="s">
        <v>81</v>
      </c>
      <c r="I69" s="6" t="s">
        <v>89</v>
      </c>
      <c r="J69" s="6" t="s">
        <v>124</v>
      </c>
      <c r="K69" s="6" t="s">
        <v>110</v>
      </c>
      <c r="L69" s="6">
        <v>3</v>
      </c>
      <c r="M69" s="6">
        <v>3854.71</v>
      </c>
      <c r="N69" s="6">
        <v>5</v>
      </c>
    </row>
    <row r="70" spans="1:14" x14ac:dyDescent="0.25">
      <c r="A70" s="6">
        <v>10072</v>
      </c>
      <c r="B70" s="6">
        <v>1345</v>
      </c>
      <c r="C70" s="11">
        <v>44998</v>
      </c>
      <c r="D70" s="11">
        <v>45005</v>
      </c>
      <c r="E70" s="6" t="s">
        <v>79</v>
      </c>
      <c r="F70" s="6" t="s">
        <v>117</v>
      </c>
      <c r="G70" s="6" t="s">
        <v>80</v>
      </c>
      <c r="H70" s="6" t="s">
        <v>81</v>
      </c>
      <c r="I70" s="6" t="s">
        <v>82</v>
      </c>
      <c r="J70" s="6" t="s">
        <v>118</v>
      </c>
      <c r="K70" s="6" t="s">
        <v>110</v>
      </c>
      <c r="L70" s="6">
        <v>3</v>
      </c>
      <c r="M70" s="6">
        <v>1859.84</v>
      </c>
      <c r="N70" s="6">
        <v>15</v>
      </c>
    </row>
    <row r="71" spans="1:14" x14ac:dyDescent="0.25">
      <c r="A71" s="6">
        <v>10073</v>
      </c>
      <c r="B71" s="6">
        <v>1564</v>
      </c>
      <c r="C71" s="11">
        <v>45055</v>
      </c>
      <c r="D71" s="11">
        <v>45063</v>
      </c>
      <c r="E71" s="6" t="s">
        <v>103</v>
      </c>
      <c r="F71" s="6" t="s">
        <v>79</v>
      </c>
      <c r="G71" s="6" t="s">
        <v>80</v>
      </c>
      <c r="H71" s="6" t="s">
        <v>88</v>
      </c>
      <c r="I71" s="6" t="s">
        <v>112</v>
      </c>
      <c r="J71" s="6" t="s">
        <v>130</v>
      </c>
      <c r="K71" s="6" t="s">
        <v>84</v>
      </c>
      <c r="L71" s="6">
        <v>1</v>
      </c>
      <c r="M71" s="6">
        <v>3037.61</v>
      </c>
      <c r="N71" s="6">
        <v>5</v>
      </c>
    </row>
    <row r="72" spans="1:14" x14ac:dyDescent="0.25">
      <c r="A72" s="6">
        <v>10074</v>
      </c>
      <c r="B72" s="6">
        <v>1897</v>
      </c>
      <c r="C72" s="11">
        <v>45290</v>
      </c>
      <c r="D72" s="11">
        <v>45296</v>
      </c>
      <c r="E72" s="6" t="s">
        <v>79</v>
      </c>
      <c r="F72" s="6" t="s">
        <v>117</v>
      </c>
      <c r="G72" s="6" t="s">
        <v>93</v>
      </c>
      <c r="H72" s="6" t="s">
        <v>98</v>
      </c>
      <c r="I72" s="6" t="s">
        <v>82</v>
      </c>
      <c r="J72" s="6" t="s">
        <v>106</v>
      </c>
      <c r="K72" s="6" t="s">
        <v>96</v>
      </c>
      <c r="L72" s="6">
        <v>3</v>
      </c>
      <c r="M72" s="6">
        <v>2196.89</v>
      </c>
      <c r="N72" s="6">
        <v>0</v>
      </c>
    </row>
    <row r="73" spans="1:14" x14ac:dyDescent="0.25">
      <c r="A73" s="6">
        <v>10075</v>
      </c>
      <c r="B73" s="6">
        <v>1339</v>
      </c>
      <c r="C73" s="11">
        <v>45187</v>
      </c>
      <c r="D73" s="11">
        <v>45196</v>
      </c>
      <c r="E73" s="6" t="s">
        <v>103</v>
      </c>
      <c r="F73" s="6" t="s">
        <v>79</v>
      </c>
      <c r="G73" s="6" t="s">
        <v>93</v>
      </c>
      <c r="H73" s="6" t="s">
        <v>105</v>
      </c>
      <c r="I73" s="6" t="s">
        <v>120</v>
      </c>
      <c r="J73" s="6" t="s">
        <v>121</v>
      </c>
      <c r="K73" s="6" t="s">
        <v>108</v>
      </c>
      <c r="L73" s="6">
        <v>4</v>
      </c>
      <c r="M73" s="6">
        <v>2220.46</v>
      </c>
      <c r="N73" s="6">
        <v>0</v>
      </c>
    </row>
    <row r="74" spans="1:14" x14ac:dyDescent="0.25">
      <c r="A74" s="6">
        <v>10076</v>
      </c>
      <c r="B74" s="6">
        <v>1091</v>
      </c>
      <c r="C74" s="11">
        <v>44929</v>
      </c>
      <c r="D74" s="11">
        <v>44932</v>
      </c>
      <c r="E74" s="6" t="s">
        <v>85</v>
      </c>
      <c r="F74" s="6" t="s">
        <v>79</v>
      </c>
      <c r="G74" s="6" t="s">
        <v>93</v>
      </c>
      <c r="H74" s="6" t="s">
        <v>98</v>
      </c>
      <c r="I74" s="6" t="s">
        <v>94</v>
      </c>
      <c r="J74" s="6" t="s">
        <v>102</v>
      </c>
      <c r="K74" s="6" t="s">
        <v>96</v>
      </c>
      <c r="L74" s="6">
        <v>5</v>
      </c>
      <c r="M74" s="6">
        <v>1220.68</v>
      </c>
      <c r="N74" s="6">
        <v>20</v>
      </c>
    </row>
    <row r="75" spans="1:14" x14ac:dyDescent="0.25">
      <c r="A75" s="6">
        <v>10077</v>
      </c>
      <c r="B75" s="6">
        <v>1366</v>
      </c>
      <c r="C75" s="11">
        <v>45030</v>
      </c>
      <c r="D75" s="11">
        <v>45034</v>
      </c>
      <c r="E75" s="6" t="s">
        <v>85</v>
      </c>
      <c r="F75" s="6" t="s">
        <v>117</v>
      </c>
      <c r="G75" s="6" t="s">
        <v>93</v>
      </c>
      <c r="H75" s="6" t="s">
        <v>88</v>
      </c>
      <c r="I75" s="6" t="s">
        <v>94</v>
      </c>
      <c r="J75" s="6" t="s">
        <v>95</v>
      </c>
      <c r="K75" s="6" t="s">
        <v>108</v>
      </c>
      <c r="L75" s="6">
        <v>3</v>
      </c>
      <c r="M75" s="6">
        <v>985.28</v>
      </c>
      <c r="N75" s="6">
        <v>10</v>
      </c>
    </row>
    <row r="76" spans="1:14" x14ac:dyDescent="0.25">
      <c r="A76" s="6">
        <v>10079</v>
      </c>
      <c r="B76" s="6">
        <v>1454</v>
      </c>
      <c r="C76" s="11">
        <v>45246</v>
      </c>
      <c r="D76" s="11">
        <v>45254</v>
      </c>
      <c r="E76" s="6" t="s">
        <v>97</v>
      </c>
      <c r="F76" s="6" t="s">
        <v>79</v>
      </c>
      <c r="G76" s="6" t="s">
        <v>93</v>
      </c>
      <c r="H76" s="6" t="s">
        <v>98</v>
      </c>
      <c r="I76" s="6" t="s">
        <v>94</v>
      </c>
      <c r="J76" s="6" t="s">
        <v>95</v>
      </c>
      <c r="K76" s="6" t="s">
        <v>96</v>
      </c>
      <c r="L76" s="6">
        <v>5</v>
      </c>
      <c r="M76" s="6">
        <v>2291.86</v>
      </c>
      <c r="N76" s="6">
        <v>15</v>
      </c>
    </row>
    <row r="77" spans="1:14" x14ac:dyDescent="0.25">
      <c r="A77" s="6">
        <v>10080</v>
      </c>
      <c r="B77" s="6">
        <v>1427</v>
      </c>
      <c r="C77" s="11">
        <v>45288</v>
      </c>
      <c r="D77" s="11">
        <v>45293</v>
      </c>
      <c r="E77" s="6" t="s">
        <v>78</v>
      </c>
      <c r="F77" s="6" t="s">
        <v>117</v>
      </c>
      <c r="G77" s="6" t="s">
        <v>80</v>
      </c>
      <c r="H77" s="6" t="s">
        <v>88</v>
      </c>
      <c r="I77" s="6" t="s">
        <v>115</v>
      </c>
      <c r="J77" s="6" t="s">
        <v>119</v>
      </c>
      <c r="K77" s="6" t="s">
        <v>91</v>
      </c>
      <c r="L77" s="6">
        <v>3</v>
      </c>
      <c r="M77" s="6">
        <v>262.25</v>
      </c>
      <c r="N77" s="6">
        <v>10</v>
      </c>
    </row>
    <row r="78" spans="1:14" x14ac:dyDescent="0.25">
      <c r="A78" s="6">
        <v>10081</v>
      </c>
      <c r="B78" s="6">
        <v>1508</v>
      </c>
      <c r="C78" s="11">
        <v>45280</v>
      </c>
      <c r="D78" s="11">
        <v>45283</v>
      </c>
      <c r="E78" s="6" t="s">
        <v>109</v>
      </c>
      <c r="F78" s="6" t="s">
        <v>79</v>
      </c>
      <c r="G78" s="6" t="s">
        <v>93</v>
      </c>
      <c r="H78" s="6" t="s">
        <v>81</v>
      </c>
      <c r="I78" s="6" t="s">
        <v>89</v>
      </c>
      <c r="J78" s="6" t="s">
        <v>90</v>
      </c>
      <c r="K78" s="6" t="s">
        <v>110</v>
      </c>
      <c r="L78" s="6">
        <v>6</v>
      </c>
      <c r="M78" s="6">
        <v>3642.91</v>
      </c>
      <c r="N78" s="6">
        <v>0</v>
      </c>
    </row>
    <row r="79" spans="1:14" x14ac:dyDescent="0.25">
      <c r="A79" s="6">
        <v>10082</v>
      </c>
      <c r="B79" s="6">
        <v>1775</v>
      </c>
      <c r="C79" s="11">
        <v>44936</v>
      </c>
      <c r="D79" s="11">
        <v>44942</v>
      </c>
      <c r="E79" s="6" t="s">
        <v>109</v>
      </c>
      <c r="F79" s="6" t="s">
        <v>101</v>
      </c>
      <c r="G79" s="6" t="s">
        <v>87</v>
      </c>
      <c r="H79" s="6" t="s">
        <v>105</v>
      </c>
      <c r="I79" s="6" t="s">
        <v>112</v>
      </c>
      <c r="J79" s="6" t="s">
        <v>126</v>
      </c>
      <c r="K79" s="6" t="s">
        <v>110</v>
      </c>
      <c r="L79" s="6">
        <v>6</v>
      </c>
      <c r="M79" s="6">
        <v>751.69</v>
      </c>
      <c r="N79" s="6">
        <v>0</v>
      </c>
    </row>
    <row r="80" spans="1:14" x14ac:dyDescent="0.25">
      <c r="A80" s="6">
        <v>10083</v>
      </c>
      <c r="B80" s="6">
        <v>1942</v>
      </c>
      <c r="C80" s="11">
        <v>45228</v>
      </c>
      <c r="D80" s="11">
        <v>45232</v>
      </c>
      <c r="E80" s="6" t="s">
        <v>100</v>
      </c>
      <c r="F80" s="6" t="s">
        <v>86</v>
      </c>
      <c r="G80" s="6" t="s">
        <v>80</v>
      </c>
      <c r="H80" s="6" t="s">
        <v>88</v>
      </c>
      <c r="I80" s="6" t="s">
        <v>120</v>
      </c>
      <c r="J80" s="6" t="s">
        <v>125</v>
      </c>
      <c r="K80" s="6" t="s">
        <v>84</v>
      </c>
      <c r="L80" s="6">
        <v>8</v>
      </c>
      <c r="M80" s="6">
        <v>997.34</v>
      </c>
      <c r="N80" s="6">
        <v>5</v>
      </c>
    </row>
    <row r="81" spans="1:14" x14ac:dyDescent="0.25">
      <c r="A81" s="6">
        <v>10084</v>
      </c>
      <c r="B81" s="6">
        <v>1034</v>
      </c>
      <c r="C81" s="11">
        <v>45157</v>
      </c>
      <c r="D81" s="11">
        <v>45166</v>
      </c>
      <c r="E81" s="6" t="s">
        <v>103</v>
      </c>
      <c r="F81" s="6" t="s">
        <v>92</v>
      </c>
      <c r="G81" s="6" t="s">
        <v>93</v>
      </c>
      <c r="H81" s="6" t="s">
        <v>107</v>
      </c>
      <c r="I81" s="6" t="s">
        <v>115</v>
      </c>
      <c r="J81" s="6" t="s">
        <v>119</v>
      </c>
      <c r="K81" s="6" t="s">
        <v>96</v>
      </c>
      <c r="L81" s="6">
        <v>2</v>
      </c>
      <c r="M81" s="6">
        <v>2145.36</v>
      </c>
      <c r="N81" s="6">
        <v>20</v>
      </c>
    </row>
    <row r="82" spans="1:14" x14ac:dyDescent="0.25">
      <c r="A82" s="6">
        <v>10085</v>
      </c>
      <c r="B82" s="6">
        <v>1205</v>
      </c>
      <c r="C82" s="11">
        <v>45145</v>
      </c>
      <c r="D82" s="11">
        <v>45148</v>
      </c>
      <c r="E82" s="6" t="s">
        <v>109</v>
      </c>
      <c r="F82" s="6" t="s">
        <v>79</v>
      </c>
      <c r="G82" s="6" t="s">
        <v>93</v>
      </c>
      <c r="H82" s="6" t="s">
        <v>81</v>
      </c>
      <c r="I82" s="6" t="s">
        <v>112</v>
      </c>
      <c r="J82" s="6" t="s">
        <v>113</v>
      </c>
      <c r="K82" s="6" t="s">
        <v>91</v>
      </c>
      <c r="L82" s="6">
        <v>1</v>
      </c>
      <c r="M82" s="6">
        <v>2883.94</v>
      </c>
      <c r="N82" s="6">
        <v>20</v>
      </c>
    </row>
    <row r="83" spans="1:14" x14ac:dyDescent="0.25">
      <c r="A83" s="6">
        <v>10086</v>
      </c>
      <c r="B83" s="6">
        <v>1080</v>
      </c>
      <c r="C83" s="11">
        <v>44992</v>
      </c>
      <c r="D83" s="11">
        <v>44996</v>
      </c>
      <c r="E83" s="6" t="s">
        <v>97</v>
      </c>
      <c r="F83" s="6" t="s">
        <v>101</v>
      </c>
      <c r="G83" s="6" t="s">
        <v>93</v>
      </c>
      <c r="H83" s="6" t="s">
        <v>107</v>
      </c>
      <c r="I83" s="6" t="s">
        <v>94</v>
      </c>
      <c r="J83" s="6" t="s">
        <v>128</v>
      </c>
      <c r="K83" s="6" t="s">
        <v>108</v>
      </c>
      <c r="L83" s="6">
        <v>4</v>
      </c>
      <c r="M83" s="6">
        <v>518.55999999999995</v>
      </c>
      <c r="N83" s="6">
        <v>20</v>
      </c>
    </row>
    <row r="84" spans="1:14" x14ac:dyDescent="0.25">
      <c r="A84" s="6">
        <v>10087</v>
      </c>
      <c r="B84" s="6">
        <v>1931</v>
      </c>
      <c r="C84" s="11">
        <v>45038</v>
      </c>
      <c r="D84" s="11">
        <v>45045</v>
      </c>
      <c r="E84" s="6" t="s">
        <v>103</v>
      </c>
      <c r="F84" s="6" t="s">
        <v>92</v>
      </c>
      <c r="G84" s="6" t="s">
        <v>80</v>
      </c>
      <c r="H84" s="6" t="s">
        <v>81</v>
      </c>
      <c r="I84" s="6" t="s">
        <v>94</v>
      </c>
      <c r="J84" s="6" t="s">
        <v>102</v>
      </c>
      <c r="K84" s="6" t="s">
        <v>110</v>
      </c>
      <c r="L84" s="6">
        <v>7</v>
      </c>
      <c r="M84" s="6">
        <v>1373.12</v>
      </c>
      <c r="N84" s="6">
        <v>5</v>
      </c>
    </row>
    <row r="85" spans="1:14" x14ac:dyDescent="0.25">
      <c r="A85" s="6">
        <v>10088</v>
      </c>
      <c r="B85" s="6">
        <v>1561</v>
      </c>
      <c r="C85" s="11">
        <v>44939</v>
      </c>
      <c r="D85" s="11">
        <v>44946</v>
      </c>
      <c r="E85" s="6" t="s">
        <v>97</v>
      </c>
      <c r="F85" s="6" t="s">
        <v>92</v>
      </c>
      <c r="G85" s="6" t="s">
        <v>80</v>
      </c>
      <c r="H85" s="6" t="s">
        <v>105</v>
      </c>
      <c r="I85" s="6" t="s">
        <v>112</v>
      </c>
      <c r="J85" s="6" t="s">
        <v>126</v>
      </c>
      <c r="K85" s="6" t="s">
        <v>110</v>
      </c>
      <c r="L85" s="6">
        <v>3</v>
      </c>
      <c r="M85" s="6">
        <v>3879.4</v>
      </c>
      <c r="N85" s="6">
        <v>20</v>
      </c>
    </row>
    <row r="86" spans="1:14" x14ac:dyDescent="0.25">
      <c r="A86" s="6">
        <v>10091</v>
      </c>
      <c r="B86" s="6">
        <v>1001</v>
      </c>
      <c r="C86" s="11">
        <v>45016</v>
      </c>
      <c r="D86" s="11">
        <v>45019</v>
      </c>
      <c r="E86" s="6" t="s">
        <v>100</v>
      </c>
      <c r="F86" s="6" t="s">
        <v>79</v>
      </c>
      <c r="G86" s="6" t="s">
        <v>80</v>
      </c>
      <c r="H86" s="6" t="s">
        <v>107</v>
      </c>
      <c r="I86" s="6" t="s">
        <v>89</v>
      </c>
      <c r="J86" s="6" t="s">
        <v>90</v>
      </c>
      <c r="K86" s="6" t="s">
        <v>91</v>
      </c>
      <c r="L86" s="6">
        <v>5</v>
      </c>
      <c r="M86" s="6">
        <v>3370.52</v>
      </c>
      <c r="N86" s="6">
        <v>10</v>
      </c>
    </row>
    <row r="87" spans="1:14" x14ac:dyDescent="0.25">
      <c r="A87" s="6">
        <v>10092</v>
      </c>
      <c r="B87" s="6">
        <v>1389</v>
      </c>
      <c r="C87" s="11">
        <v>45240</v>
      </c>
      <c r="D87" s="11">
        <v>45246</v>
      </c>
      <c r="E87" s="6" t="s">
        <v>109</v>
      </c>
      <c r="F87" s="6" t="s">
        <v>101</v>
      </c>
      <c r="G87" s="6" t="s">
        <v>93</v>
      </c>
      <c r="H87" s="6" t="s">
        <v>81</v>
      </c>
      <c r="I87" s="6" t="s">
        <v>112</v>
      </c>
      <c r="J87" s="6" t="s">
        <v>113</v>
      </c>
      <c r="K87" s="6" t="s">
        <v>96</v>
      </c>
      <c r="L87" s="6">
        <v>3</v>
      </c>
      <c r="M87" s="6">
        <v>343.33</v>
      </c>
      <c r="N87" s="6">
        <v>5</v>
      </c>
    </row>
    <row r="88" spans="1:14" x14ac:dyDescent="0.25">
      <c r="A88" s="6">
        <v>10093</v>
      </c>
      <c r="B88" s="6">
        <v>1565</v>
      </c>
      <c r="C88" s="11">
        <v>44980</v>
      </c>
      <c r="D88" s="11">
        <v>44982</v>
      </c>
      <c r="E88" s="6" t="s">
        <v>103</v>
      </c>
      <c r="F88" s="6" t="s">
        <v>92</v>
      </c>
      <c r="G88" s="6" t="s">
        <v>80</v>
      </c>
      <c r="H88" s="6" t="s">
        <v>105</v>
      </c>
      <c r="I88" s="6" t="s">
        <v>115</v>
      </c>
      <c r="J88" s="6" t="s">
        <v>119</v>
      </c>
      <c r="K88" s="6" t="s">
        <v>96</v>
      </c>
      <c r="L88" s="6">
        <v>9</v>
      </c>
      <c r="M88" s="6">
        <v>1938.76</v>
      </c>
      <c r="N88" s="6">
        <v>20</v>
      </c>
    </row>
    <row r="89" spans="1:14" x14ac:dyDescent="0.25">
      <c r="A89" s="6">
        <v>10094</v>
      </c>
      <c r="B89" s="6">
        <v>1105</v>
      </c>
      <c r="C89" s="11">
        <v>44938</v>
      </c>
      <c r="D89" s="11">
        <v>44946</v>
      </c>
      <c r="E89" s="6" t="s">
        <v>85</v>
      </c>
      <c r="F89" s="6" t="s">
        <v>79</v>
      </c>
      <c r="G89" s="6" t="s">
        <v>93</v>
      </c>
      <c r="H89" s="6" t="s">
        <v>88</v>
      </c>
      <c r="I89" s="6" t="s">
        <v>115</v>
      </c>
      <c r="J89" s="6" t="s">
        <v>123</v>
      </c>
      <c r="K89" s="6" t="s">
        <v>84</v>
      </c>
      <c r="L89" s="6">
        <v>4</v>
      </c>
      <c r="M89" s="6">
        <v>1611.52</v>
      </c>
      <c r="N89" s="6">
        <v>10</v>
      </c>
    </row>
    <row r="90" spans="1:14" x14ac:dyDescent="0.25">
      <c r="A90" s="6">
        <v>10095</v>
      </c>
      <c r="B90" s="6">
        <v>1771</v>
      </c>
      <c r="C90" s="11">
        <v>45135</v>
      </c>
      <c r="D90" s="11">
        <v>45137</v>
      </c>
      <c r="E90" s="6" t="s">
        <v>103</v>
      </c>
      <c r="F90" s="6" t="s">
        <v>117</v>
      </c>
      <c r="G90" s="6" t="s">
        <v>93</v>
      </c>
      <c r="H90" s="6" t="s">
        <v>105</v>
      </c>
      <c r="I90" s="6" t="s">
        <v>112</v>
      </c>
      <c r="J90" s="6" t="s">
        <v>113</v>
      </c>
      <c r="K90" s="6" t="s">
        <v>110</v>
      </c>
      <c r="L90" s="6">
        <v>3</v>
      </c>
      <c r="M90" s="6">
        <v>1368.86</v>
      </c>
      <c r="N90" s="6">
        <v>10</v>
      </c>
    </row>
    <row r="91" spans="1:14" x14ac:dyDescent="0.25">
      <c r="A91" s="6">
        <v>10096</v>
      </c>
      <c r="B91" s="6">
        <v>1821</v>
      </c>
      <c r="C91" s="11">
        <v>44940</v>
      </c>
      <c r="D91" s="11">
        <v>44947</v>
      </c>
      <c r="E91" s="6" t="s">
        <v>103</v>
      </c>
      <c r="F91" s="6" t="s">
        <v>79</v>
      </c>
      <c r="G91" s="6" t="s">
        <v>80</v>
      </c>
      <c r="H91" s="6" t="s">
        <v>88</v>
      </c>
      <c r="I91" s="6" t="s">
        <v>115</v>
      </c>
      <c r="J91" s="6" t="s">
        <v>123</v>
      </c>
      <c r="K91" s="6" t="s">
        <v>96</v>
      </c>
      <c r="L91" s="6">
        <v>2</v>
      </c>
      <c r="M91" s="6">
        <v>1249.94</v>
      </c>
      <c r="N91" s="6">
        <v>10</v>
      </c>
    </row>
    <row r="92" spans="1:14" x14ac:dyDescent="0.25">
      <c r="A92" s="6">
        <v>10097</v>
      </c>
      <c r="B92" s="6">
        <v>1476</v>
      </c>
      <c r="C92" s="11">
        <v>45047</v>
      </c>
      <c r="D92" s="11">
        <v>45056</v>
      </c>
      <c r="E92" s="6" t="s">
        <v>100</v>
      </c>
      <c r="F92" s="6" t="s">
        <v>86</v>
      </c>
      <c r="G92" s="6" t="s">
        <v>87</v>
      </c>
      <c r="H92" s="6" t="s">
        <v>81</v>
      </c>
      <c r="I92" s="6" t="s">
        <v>115</v>
      </c>
      <c r="J92" s="6" t="s">
        <v>123</v>
      </c>
      <c r="K92" s="6" t="s">
        <v>91</v>
      </c>
      <c r="L92" s="6">
        <v>9</v>
      </c>
      <c r="M92" s="6">
        <v>501.79</v>
      </c>
      <c r="N92" s="6">
        <v>5</v>
      </c>
    </row>
    <row r="93" spans="1:14" x14ac:dyDescent="0.25">
      <c r="A93" s="6">
        <v>10098</v>
      </c>
      <c r="B93" s="6">
        <v>1702</v>
      </c>
      <c r="C93" s="11">
        <v>44946</v>
      </c>
      <c r="D93" s="11">
        <v>44947</v>
      </c>
      <c r="E93" s="6" t="s">
        <v>100</v>
      </c>
      <c r="F93" s="6" t="s">
        <v>117</v>
      </c>
      <c r="G93" s="6" t="s">
        <v>87</v>
      </c>
      <c r="H93" s="6" t="s">
        <v>105</v>
      </c>
      <c r="I93" s="6" t="s">
        <v>89</v>
      </c>
      <c r="J93" s="6" t="s">
        <v>99</v>
      </c>
      <c r="K93" s="6" t="s">
        <v>108</v>
      </c>
      <c r="L93" s="6">
        <v>4</v>
      </c>
      <c r="M93" s="6">
        <v>1362.08</v>
      </c>
      <c r="N93" s="6">
        <v>15</v>
      </c>
    </row>
    <row r="94" spans="1:14" x14ac:dyDescent="0.25">
      <c r="A94" s="6">
        <v>10099</v>
      </c>
      <c r="B94" s="6">
        <v>1401</v>
      </c>
      <c r="C94" s="11">
        <v>45001</v>
      </c>
      <c r="D94" s="11">
        <v>45009</v>
      </c>
      <c r="E94" s="6" t="s">
        <v>109</v>
      </c>
      <c r="F94" s="6" t="s">
        <v>101</v>
      </c>
      <c r="G94" s="6" t="s">
        <v>80</v>
      </c>
      <c r="H94" s="6" t="s">
        <v>105</v>
      </c>
      <c r="I94" s="6" t="s">
        <v>115</v>
      </c>
      <c r="J94" s="6" t="s">
        <v>116</v>
      </c>
      <c r="K94" s="6" t="s">
        <v>91</v>
      </c>
      <c r="L94" s="6">
        <v>3</v>
      </c>
      <c r="M94" s="6">
        <v>315.75</v>
      </c>
      <c r="N94" s="6">
        <v>20</v>
      </c>
    </row>
    <row r="95" spans="1:14" x14ac:dyDescent="0.25">
      <c r="A95" s="6">
        <v>10100</v>
      </c>
      <c r="B95" s="6">
        <v>1729</v>
      </c>
      <c r="C95" s="11">
        <v>45169</v>
      </c>
      <c r="D95" s="11">
        <v>45176</v>
      </c>
      <c r="E95" s="6" t="s">
        <v>79</v>
      </c>
      <c r="F95" s="6" t="s">
        <v>92</v>
      </c>
      <c r="G95" s="6" t="s">
        <v>87</v>
      </c>
      <c r="H95" s="6" t="s">
        <v>81</v>
      </c>
      <c r="I95" s="6" t="s">
        <v>82</v>
      </c>
      <c r="J95" s="6" t="s">
        <v>106</v>
      </c>
      <c r="K95" s="6" t="s">
        <v>110</v>
      </c>
      <c r="L95" s="6">
        <v>7</v>
      </c>
      <c r="M95" s="6">
        <v>3156.71</v>
      </c>
      <c r="N95" s="6">
        <v>10</v>
      </c>
    </row>
    <row r="96" spans="1:14" x14ac:dyDescent="0.25">
      <c r="A96" s="6">
        <v>10101</v>
      </c>
      <c r="B96" s="6">
        <v>1555</v>
      </c>
      <c r="C96" s="11">
        <v>45149</v>
      </c>
      <c r="D96" s="11">
        <v>45155</v>
      </c>
      <c r="E96" s="6" t="s">
        <v>79</v>
      </c>
      <c r="F96" s="6" t="s">
        <v>79</v>
      </c>
      <c r="G96" s="6" t="s">
        <v>93</v>
      </c>
      <c r="H96" s="6" t="s">
        <v>105</v>
      </c>
      <c r="I96" s="6" t="s">
        <v>120</v>
      </c>
      <c r="J96" s="6" t="s">
        <v>122</v>
      </c>
      <c r="K96" s="6" t="s">
        <v>91</v>
      </c>
      <c r="L96" s="6">
        <v>8</v>
      </c>
      <c r="M96" s="6">
        <v>1683.18</v>
      </c>
      <c r="N96" s="6">
        <v>15</v>
      </c>
    </row>
    <row r="97" spans="1:14" x14ac:dyDescent="0.25">
      <c r="A97" s="6">
        <v>10102</v>
      </c>
      <c r="B97" s="6">
        <v>1161</v>
      </c>
      <c r="C97" s="11">
        <v>44996</v>
      </c>
      <c r="D97" s="11">
        <v>45002</v>
      </c>
      <c r="E97" s="6" t="s">
        <v>100</v>
      </c>
      <c r="F97" s="6" t="s">
        <v>117</v>
      </c>
      <c r="G97" s="6" t="s">
        <v>93</v>
      </c>
      <c r="H97" s="6" t="s">
        <v>88</v>
      </c>
      <c r="I97" s="6" t="s">
        <v>94</v>
      </c>
      <c r="J97" s="6" t="s">
        <v>102</v>
      </c>
      <c r="K97" s="6" t="s">
        <v>84</v>
      </c>
      <c r="L97" s="6">
        <v>2</v>
      </c>
      <c r="M97" s="6">
        <v>1859.03</v>
      </c>
      <c r="N97" s="6">
        <v>20</v>
      </c>
    </row>
    <row r="98" spans="1:14" x14ac:dyDescent="0.25">
      <c r="A98" s="6">
        <v>10103</v>
      </c>
      <c r="B98" s="6">
        <v>1201</v>
      </c>
      <c r="C98" s="11">
        <v>45238</v>
      </c>
      <c r="D98" s="11">
        <v>45244</v>
      </c>
      <c r="E98" s="6" t="s">
        <v>109</v>
      </c>
      <c r="F98" s="6" t="s">
        <v>86</v>
      </c>
      <c r="G98" s="6" t="s">
        <v>80</v>
      </c>
      <c r="H98" s="6" t="s">
        <v>105</v>
      </c>
      <c r="I98" s="6" t="s">
        <v>82</v>
      </c>
      <c r="J98" s="6" t="s">
        <v>83</v>
      </c>
      <c r="K98" s="6" t="s">
        <v>110</v>
      </c>
      <c r="L98" s="6">
        <v>7</v>
      </c>
      <c r="M98" s="6">
        <v>3590.34</v>
      </c>
      <c r="N98" s="6">
        <v>20</v>
      </c>
    </row>
    <row r="99" spans="1:14" x14ac:dyDescent="0.25">
      <c r="A99" s="6">
        <v>10105</v>
      </c>
      <c r="B99" s="6">
        <v>1995</v>
      </c>
      <c r="C99" s="11">
        <v>45027</v>
      </c>
      <c r="D99" s="11">
        <v>45029</v>
      </c>
      <c r="E99" s="6" t="s">
        <v>109</v>
      </c>
      <c r="F99" s="6" t="s">
        <v>104</v>
      </c>
      <c r="G99" s="6" t="s">
        <v>87</v>
      </c>
      <c r="H99" s="6" t="s">
        <v>98</v>
      </c>
      <c r="I99" s="6" t="s">
        <v>89</v>
      </c>
      <c r="J99" s="6" t="s">
        <v>90</v>
      </c>
      <c r="K99" s="6" t="s">
        <v>84</v>
      </c>
      <c r="L99" s="6">
        <v>5</v>
      </c>
      <c r="M99" s="6">
        <v>181.03</v>
      </c>
      <c r="N99" s="6">
        <v>10</v>
      </c>
    </row>
    <row r="100" spans="1:14" x14ac:dyDescent="0.25">
      <c r="A100" s="6">
        <v>10106</v>
      </c>
      <c r="B100" s="6">
        <v>1269</v>
      </c>
      <c r="C100" s="11">
        <v>45112</v>
      </c>
      <c r="D100" s="11">
        <v>45113</v>
      </c>
      <c r="E100" s="6" t="s">
        <v>109</v>
      </c>
      <c r="F100" s="6" t="s">
        <v>86</v>
      </c>
      <c r="G100" s="6" t="s">
        <v>93</v>
      </c>
      <c r="H100" s="6" t="s">
        <v>88</v>
      </c>
      <c r="I100" s="6" t="s">
        <v>112</v>
      </c>
      <c r="J100" s="6" t="s">
        <v>126</v>
      </c>
      <c r="K100" s="6" t="s">
        <v>110</v>
      </c>
      <c r="L100" s="6">
        <v>3</v>
      </c>
      <c r="M100" s="6">
        <v>3781.22</v>
      </c>
      <c r="N100" s="6">
        <v>5</v>
      </c>
    </row>
    <row r="101" spans="1:14" x14ac:dyDescent="0.25">
      <c r="A101" s="6">
        <v>10107</v>
      </c>
      <c r="B101" s="6">
        <v>1862</v>
      </c>
      <c r="C101" s="11">
        <v>45058</v>
      </c>
      <c r="D101" s="11">
        <v>45064</v>
      </c>
      <c r="E101" s="6" t="s">
        <v>109</v>
      </c>
      <c r="F101" s="6" t="s">
        <v>101</v>
      </c>
      <c r="G101" s="6" t="s">
        <v>80</v>
      </c>
      <c r="H101" s="6" t="s">
        <v>107</v>
      </c>
      <c r="I101" s="6" t="s">
        <v>115</v>
      </c>
      <c r="J101" s="6" t="s">
        <v>123</v>
      </c>
      <c r="K101" s="6" t="s">
        <v>108</v>
      </c>
      <c r="L101" s="6">
        <v>5</v>
      </c>
      <c r="M101" s="6">
        <v>1063.01</v>
      </c>
      <c r="N101" s="6">
        <v>15</v>
      </c>
    </row>
    <row r="102" spans="1:14" x14ac:dyDescent="0.25">
      <c r="A102" s="6">
        <v>10108</v>
      </c>
      <c r="B102" s="6">
        <v>1815</v>
      </c>
      <c r="C102" s="11">
        <v>45037</v>
      </c>
      <c r="D102" s="11">
        <v>45045</v>
      </c>
      <c r="E102" s="6" t="s">
        <v>78</v>
      </c>
      <c r="F102" s="6" t="s">
        <v>92</v>
      </c>
      <c r="G102" s="6" t="s">
        <v>87</v>
      </c>
      <c r="H102" s="6" t="s">
        <v>81</v>
      </c>
      <c r="I102" s="6" t="s">
        <v>89</v>
      </c>
      <c r="J102" s="6" t="s">
        <v>99</v>
      </c>
      <c r="K102" s="6" t="s">
        <v>84</v>
      </c>
      <c r="L102" s="6">
        <v>2</v>
      </c>
      <c r="M102" s="6">
        <v>564.30999999999995</v>
      </c>
      <c r="N102" s="6">
        <v>15</v>
      </c>
    </row>
    <row r="103" spans="1:14" x14ac:dyDescent="0.25">
      <c r="A103" s="6">
        <v>10110</v>
      </c>
      <c r="B103" s="6">
        <v>1455</v>
      </c>
      <c r="C103" s="11">
        <v>44946</v>
      </c>
      <c r="D103" s="11">
        <v>44947</v>
      </c>
      <c r="E103" s="6" t="s">
        <v>109</v>
      </c>
      <c r="F103" s="6" t="s">
        <v>79</v>
      </c>
      <c r="G103" s="6" t="s">
        <v>87</v>
      </c>
      <c r="H103" s="6" t="s">
        <v>98</v>
      </c>
      <c r="I103" s="6" t="s">
        <v>115</v>
      </c>
      <c r="J103" s="6" t="s">
        <v>119</v>
      </c>
      <c r="K103" s="6" t="s">
        <v>110</v>
      </c>
      <c r="L103" s="6">
        <v>6</v>
      </c>
      <c r="M103" s="6">
        <v>2076.84</v>
      </c>
      <c r="N103" s="6">
        <v>20</v>
      </c>
    </row>
    <row r="104" spans="1:14" x14ac:dyDescent="0.25">
      <c r="A104" s="6">
        <v>10111</v>
      </c>
      <c r="B104" s="6">
        <v>1461</v>
      </c>
      <c r="C104" s="11">
        <v>44950</v>
      </c>
      <c r="D104" s="11">
        <v>44959</v>
      </c>
      <c r="E104" s="6" t="s">
        <v>78</v>
      </c>
      <c r="F104" s="6" t="s">
        <v>117</v>
      </c>
      <c r="G104" s="6" t="s">
        <v>93</v>
      </c>
      <c r="H104" s="6" t="s">
        <v>98</v>
      </c>
      <c r="I104" s="6" t="s">
        <v>112</v>
      </c>
      <c r="J104" s="6" t="s">
        <v>130</v>
      </c>
      <c r="K104" s="6" t="s">
        <v>96</v>
      </c>
      <c r="L104" s="6">
        <v>1</v>
      </c>
      <c r="M104" s="6">
        <v>1820.02</v>
      </c>
      <c r="N104" s="6">
        <v>10</v>
      </c>
    </row>
    <row r="105" spans="1:14" x14ac:dyDescent="0.25">
      <c r="A105" s="6">
        <v>10112</v>
      </c>
      <c r="B105" s="6">
        <v>1726</v>
      </c>
      <c r="C105" s="11">
        <v>45153</v>
      </c>
      <c r="D105" s="11">
        <v>45154</v>
      </c>
      <c r="E105" s="6" t="s">
        <v>100</v>
      </c>
      <c r="F105" s="6" t="s">
        <v>104</v>
      </c>
      <c r="G105" s="6" t="s">
        <v>93</v>
      </c>
      <c r="H105" s="6" t="s">
        <v>81</v>
      </c>
      <c r="I105" s="6" t="s">
        <v>89</v>
      </c>
      <c r="J105" s="6" t="s">
        <v>99</v>
      </c>
      <c r="K105" s="6" t="s">
        <v>84</v>
      </c>
      <c r="L105" s="6">
        <v>4</v>
      </c>
      <c r="M105" s="6">
        <v>1110.5899999999999</v>
      </c>
      <c r="N105" s="6">
        <v>20</v>
      </c>
    </row>
    <row r="106" spans="1:14" x14ac:dyDescent="0.25">
      <c r="A106" s="6">
        <v>10113</v>
      </c>
      <c r="B106" s="6">
        <v>1251</v>
      </c>
      <c r="C106" s="11">
        <v>45080</v>
      </c>
      <c r="D106" s="11">
        <v>45083</v>
      </c>
      <c r="E106" s="6" t="s">
        <v>79</v>
      </c>
      <c r="F106" s="6" t="s">
        <v>86</v>
      </c>
      <c r="G106" s="6" t="s">
        <v>80</v>
      </c>
      <c r="H106" s="6" t="s">
        <v>81</v>
      </c>
      <c r="I106" s="6" t="s">
        <v>89</v>
      </c>
      <c r="J106" s="6" t="s">
        <v>124</v>
      </c>
      <c r="K106" s="6" t="s">
        <v>84</v>
      </c>
      <c r="L106" s="6">
        <v>6</v>
      </c>
      <c r="M106" s="6">
        <v>2257.77</v>
      </c>
      <c r="N106" s="6">
        <v>20</v>
      </c>
    </row>
    <row r="107" spans="1:14" x14ac:dyDescent="0.25">
      <c r="A107" s="6">
        <v>10114</v>
      </c>
      <c r="B107" s="6">
        <v>1701</v>
      </c>
      <c r="C107" s="11">
        <v>45219</v>
      </c>
      <c r="D107" s="11">
        <v>45227</v>
      </c>
      <c r="E107" s="6" t="s">
        <v>103</v>
      </c>
      <c r="F107" s="6" t="s">
        <v>86</v>
      </c>
      <c r="G107" s="6" t="s">
        <v>93</v>
      </c>
      <c r="H107" s="6" t="s">
        <v>88</v>
      </c>
      <c r="I107" s="6" t="s">
        <v>89</v>
      </c>
      <c r="J107" s="6" t="s">
        <v>131</v>
      </c>
      <c r="K107" s="6" t="s">
        <v>108</v>
      </c>
      <c r="L107" s="6">
        <v>9</v>
      </c>
      <c r="M107" s="6">
        <v>1206.3800000000001</v>
      </c>
      <c r="N107" s="6">
        <v>10</v>
      </c>
    </row>
    <row r="108" spans="1:14" x14ac:dyDescent="0.25">
      <c r="A108" s="6">
        <v>10115</v>
      </c>
      <c r="B108" s="6">
        <v>1295</v>
      </c>
      <c r="C108" s="11">
        <v>45156</v>
      </c>
      <c r="D108" s="11">
        <v>45159</v>
      </c>
      <c r="E108" s="6" t="s">
        <v>85</v>
      </c>
      <c r="F108" s="6" t="s">
        <v>117</v>
      </c>
      <c r="G108" s="6" t="s">
        <v>87</v>
      </c>
      <c r="H108" s="6" t="s">
        <v>105</v>
      </c>
      <c r="I108" s="6" t="s">
        <v>120</v>
      </c>
      <c r="J108" s="6" t="s">
        <v>125</v>
      </c>
      <c r="K108" s="6" t="s">
        <v>91</v>
      </c>
      <c r="L108" s="6">
        <v>2</v>
      </c>
      <c r="M108" s="6">
        <v>3621.09</v>
      </c>
      <c r="N108" s="6">
        <v>0</v>
      </c>
    </row>
    <row r="109" spans="1:14" x14ac:dyDescent="0.25">
      <c r="A109" s="6">
        <v>10116</v>
      </c>
      <c r="B109" s="6">
        <v>1724</v>
      </c>
      <c r="C109" s="11">
        <v>45236</v>
      </c>
      <c r="D109" s="11">
        <v>45240</v>
      </c>
      <c r="E109" s="6" t="s">
        <v>79</v>
      </c>
      <c r="F109" s="6" t="s">
        <v>104</v>
      </c>
      <c r="G109" s="6" t="s">
        <v>93</v>
      </c>
      <c r="H109" s="6" t="s">
        <v>81</v>
      </c>
      <c r="I109" s="6" t="s">
        <v>115</v>
      </c>
      <c r="J109" s="6" t="s">
        <v>123</v>
      </c>
      <c r="K109" s="6" t="s">
        <v>110</v>
      </c>
      <c r="L109" s="6">
        <v>7</v>
      </c>
      <c r="M109" s="6">
        <v>978.54</v>
      </c>
      <c r="N109" s="6">
        <v>15</v>
      </c>
    </row>
    <row r="110" spans="1:14" x14ac:dyDescent="0.25">
      <c r="A110" s="6">
        <v>10117</v>
      </c>
      <c r="B110" s="6">
        <v>1719</v>
      </c>
      <c r="C110" s="11">
        <v>45285</v>
      </c>
      <c r="D110" s="11">
        <v>45293</v>
      </c>
      <c r="E110" s="6" t="s">
        <v>103</v>
      </c>
      <c r="F110" s="6" t="s">
        <v>117</v>
      </c>
      <c r="G110" s="6" t="s">
        <v>80</v>
      </c>
      <c r="H110" s="6" t="s">
        <v>105</v>
      </c>
      <c r="I110" s="6" t="s">
        <v>120</v>
      </c>
      <c r="J110" s="6" t="s">
        <v>121</v>
      </c>
      <c r="K110" s="6" t="s">
        <v>110</v>
      </c>
      <c r="L110" s="6">
        <v>6</v>
      </c>
      <c r="M110" s="6">
        <v>3554.77</v>
      </c>
      <c r="N110" s="6">
        <v>20</v>
      </c>
    </row>
    <row r="111" spans="1:14" x14ac:dyDescent="0.25">
      <c r="A111" s="6">
        <v>10118</v>
      </c>
      <c r="B111" s="6">
        <v>1748</v>
      </c>
      <c r="C111" s="11">
        <v>45128</v>
      </c>
      <c r="D111" s="11">
        <v>45129</v>
      </c>
      <c r="E111" s="6" t="s">
        <v>85</v>
      </c>
      <c r="F111" s="6" t="s">
        <v>79</v>
      </c>
      <c r="G111" s="6" t="s">
        <v>80</v>
      </c>
      <c r="H111" s="6" t="s">
        <v>107</v>
      </c>
      <c r="I111" s="6" t="s">
        <v>94</v>
      </c>
      <c r="J111" s="6" t="s">
        <v>111</v>
      </c>
      <c r="K111" s="6" t="s">
        <v>96</v>
      </c>
      <c r="L111" s="6">
        <v>2</v>
      </c>
      <c r="M111" s="6">
        <v>2303.71</v>
      </c>
      <c r="N111" s="6">
        <v>20</v>
      </c>
    </row>
    <row r="112" spans="1:14" x14ac:dyDescent="0.25">
      <c r="A112" s="6">
        <v>10119</v>
      </c>
      <c r="B112" s="6">
        <v>1337</v>
      </c>
      <c r="C112" s="11">
        <v>44964</v>
      </c>
      <c r="D112" s="11">
        <v>44970</v>
      </c>
      <c r="E112" s="6" t="s">
        <v>79</v>
      </c>
      <c r="F112" s="6" t="s">
        <v>101</v>
      </c>
      <c r="G112" s="6" t="s">
        <v>80</v>
      </c>
      <c r="H112" s="6" t="s">
        <v>98</v>
      </c>
      <c r="I112" s="6" t="s">
        <v>94</v>
      </c>
      <c r="J112" s="6" t="s">
        <v>95</v>
      </c>
      <c r="K112" s="6" t="s">
        <v>96</v>
      </c>
      <c r="L112" s="6">
        <v>8</v>
      </c>
      <c r="M112" s="6">
        <v>3339.68</v>
      </c>
      <c r="N112" s="6">
        <v>0</v>
      </c>
    </row>
    <row r="113" spans="1:14" x14ac:dyDescent="0.25">
      <c r="A113" s="6">
        <v>10120</v>
      </c>
      <c r="B113" s="6">
        <v>1878</v>
      </c>
      <c r="C113" s="11">
        <v>45186</v>
      </c>
      <c r="D113" s="11">
        <v>45187</v>
      </c>
      <c r="E113" s="6" t="s">
        <v>103</v>
      </c>
      <c r="F113" s="6" t="s">
        <v>86</v>
      </c>
      <c r="G113" s="6" t="s">
        <v>87</v>
      </c>
      <c r="H113" s="6" t="s">
        <v>105</v>
      </c>
      <c r="I113" s="6" t="s">
        <v>115</v>
      </c>
      <c r="J113" s="6" t="s">
        <v>116</v>
      </c>
      <c r="K113" s="6" t="s">
        <v>110</v>
      </c>
      <c r="L113" s="6">
        <v>7</v>
      </c>
      <c r="M113" s="6">
        <v>2894.46</v>
      </c>
      <c r="N113" s="6">
        <v>5</v>
      </c>
    </row>
    <row r="114" spans="1:14" x14ac:dyDescent="0.25">
      <c r="A114" s="6">
        <v>10121</v>
      </c>
      <c r="B114" s="6">
        <v>1052</v>
      </c>
      <c r="C114" s="11">
        <v>45114</v>
      </c>
      <c r="D114" s="11">
        <v>45115</v>
      </c>
      <c r="E114" s="6" t="s">
        <v>79</v>
      </c>
      <c r="F114" s="6" t="s">
        <v>79</v>
      </c>
      <c r="G114" s="6" t="s">
        <v>87</v>
      </c>
      <c r="H114" s="6" t="s">
        <v>98</v>
      </c>
      <c r="I114" s="6" t="s">
        <v>120</v>
      </c>
      <c r="J114" s="6" t="s">
        <v>125</v>
      </c>
      <c r="K114" s="6" t="s">
        <v>96</v>
      </c>
      <c r="L114" s="6">
        <v>5</v>
      </c>
      <c r="M114" s="6">
        <v>2832.28</v>
      </c>
      <c r="N114" s="6">
        <v>0</v>
      </c>
    </row>
    <row r="115" spans="1:14" x14ac:dyDescent="0.25">
      <c r="A115" s="6">
        <v>10122</v>
      </c>
      <c r="B115" s="6">
        <v>1791</v>
      </c>
      <c r="C115" s="11">
        <v>44983</v>
      </c>
      <c r="D115" s="11">
        <v>44991</v>
      </c>
      <c r="E115" s="6" t="s">
        <v>79</v>
      </c>
      <c r="F115" s="6" t="s">
        <v>101</v>
      </c>
      <c r="G115" s="6" t="s">
        <v>87</v>
      </c>
      <c r="H115" s="6" t="s">
        <v>105</v>
      </c>
      <c r="I115" s="6" t="s">
        <v>112</v>
      </c>
      <c r="J115" s="6" t="s">
        <v>126</v>
      </c>
      <c r="K115" s="6" t="s">
        <v>108</v>
      </c>
      <c r="L115" s="6">
        <v>5</v>
      </c>
      <c r="M115" s="6">
        <v>1398.73</v>
      </c>
      <c r="N115" s="6">
        <v>0</v>
      </c>
    </row>
    <row r="116" spans="1:14" x14ac:dyDescent="0.25">
      <c r="A116" s="6">
        <v>10123</v>
      </c>
      <c r="B116" s="6">
        <v>1921</v>
      </c>
      <c r="C116" s="11">
        <v>44946</v>
      </c>
      <c r="D116" s="11">
        <v>44950</v>
      </c>
      <c r="E116" s="6" t="s">
        <v>85</v>
      </c>
      <c r="F116" s="6" t="s">
        <v>79</v>
      </c>
      <c r="G116" s="6" t="s">
        <v>87</v>
      </c>
      <c r="H116" s="6" t="s">
        <v>107</v>
      </c>
      <c r="I116" s="6" t="s">
        <v>89</v>
      </c>
      <c r="J116" s="6" t="s">
        <v>131</v>
      </c>
      <c r="K116" s="6" t="s">
        <v>110</v>
      </c>
      <c r="L116" s="6">
        <v>7</v>
      </c>
      <c r="M116" s="6">
        <v>1050.5</v>
      </c>
      <c r="N116" s="6">
        <v>20</v>
      </c>
    </row>
    <row r="117" spans="1:14" x14ac:dyDescent="0.25">
      <c r="A117" s="6">
        <v>10124</v>
      </c>
      <c r="B117" s="6">
        <v>1216</v>
      </c>
      <c r="C117" s="11">
        <v>45199</v>
      </c>
      <c r="D117" s="11">
        <v>45200</v>
      </c>
      <c r="E117" s="6" t="s">
        <v>79</v>
      </c>
      <c r="F117" s="6" t="s">
        <v>104</v>
      </c>
      <c r="G117" s="6" t="s">
        <v>87</v>
      </c>
      <c r="H117" s="6" t="s">
        <v>81</v>
      </c>
      <c r="I117" s="6" t="s">
        <v>89</v>
      </c>
      <c r="J117" s="6" t="s">
        <v>124</v>
      </c>
      <c r="K117" s="6" t="s">
        <v>96</v>
      </c>
      <c r="L117" s="6">
        <v>9</v>
      </c>
      <c r="M117" s="6">
        <v>961.91</v>
      </c>
      <c r="N117" s="6">
        <v>15</v>
      </c>
    </row>
    <row r="118" spans="1:14" x14ac:dyDescent="0.25">
      <c r="A118" s="6">
        <v>10125</v>
      </c>
      <c r="B118" s="6">
        <v>1763</v>
      </c>
      <c r="C118" s="11">
        <v>45045</v>
      </c>
      <c r="D118" s="11">
        <v>45052</v>
      </c>
      <c r="E118" s="6" t="s">
        <v>79</v>
      </c>
      <c r="F118" s="6" t="s">
        <v>86</v>
      </c>
      <c r="G118" s="6" t="s">
        <v>93</v>
      </c>
      <c r="H118" s="6" t="s">
        <v>107</v>
      </c>
      <c r="I118" s="6" t="s">
        <v>115</v>
      </c>
      <c r="J118" s="6" t="s">
        <v>127</v>
      </c>
      <c r="K118" s="6" t="s">
        <v>110</v>
      </c>
      <c r="L118" s="6">
        <v>9</v>
      </c>
      <c r="M118" s="6">
        <v>3450.19</v>
      </c>
      <c r="N118" s="6">
        <v>0</v>
      </c>
    </row>
    <row r="119" spans="1:14" x14ac:dyDescent="0.25">
      <c r="A119" s="6">
        <v>10126</v>
      </c>
      <c r="B119" s="6">
        <v>1187</v>
      </c>
      <c r="C119" s="11">
        <v>44997</v>
      </c>
      <c r="D119" s="11">
        <v>45002</v>
      </c>
      <c r="E119" s="6" t="s">
        <v>85</v>
      </c>
      <c r="F119" s="6" t="s">
        <v>117</v>
      </c>
      <c r="G119" s="6" t="s">
        <v>87</v>
      </c>
      <c r="H119" s="6" t="s">
        <v>81</v>
      </c>
      <c r="I119" s="6" t="s">
        <v>94</v>
      </c>
      <c r="J119" s="6" t="s">
        <v>111</v>
      </c>
      <c r="K119" s="6" t="s">
        <v>91</v>
      </c>
      <c r="L119" s="6">
        <v>9</v>
      </c>
      <c r="M119" s="6">
        <v>3308.64</v>
      </c>
      <c r="N119" s="6">
        <v>5</v>
      </c>
    </row>
    <row r="120" spans="1:14" x14ac:dyDescent="0.25">
      <c r="A120" s="6">
        <v>10127</v>
      </c>
      <c r="B120" s="6">
        <v>1379</v>
      </c>
      <c r="C120" s="11">
        <v>44930</v>
      </c>
      <c r="D120" s="11">
        <v>44935</v>
      </c>
      <c r="E120" s="6" t="s">
        <v>100</v>
      </c>
      <c r="F120" s="6" t="s">
        <v>117</v>
      </c>
      <c r="G120" s="6" t="s">
        <v>87</v>
      </c>
      <c r="H120" s="6" t="s">
        <v>81</v>
      </c>
      <c r="I120" s="6" t="s">
        <v>94</v>
      </c>
      <c r="J120" s="6" t="s">
        <v>102</v>
      </c>
      <c r="K120" s="6" t="s">
        <v>84</v>
      </c>
      <c r="L120" s="6">
        <v>6</v>
      </c>
      <c r="M120" s="6">
        <v>1846.21</v>
      </c>
      <c r="N120" s="6">
        <v>10</v>
      </c>
    </row>
    <row r="121" spans="1:14" x14ac:dyDescent="0.25">
      <c r="A121" s="6">
        <v>10128</v>
      </c>
      <c r="B121" s="6">
        <v>1492</v>
      </c>
      <c r="C121" s="11">
        <v>45147</v>
      </c>
      <c r="D121" s="11">
        <v>45148</v>
      </c>
      <c r="E121" s="6" t="s">
        <v>109</v>
      </c>
      <c r="F121" s="6" t="s">
        <v>101</v>
      </c>
      <c r="G121" s="6" t="s">
        <v>93</v>
      </c>
      <c r="H121" s="6" t="s">
        <v>98</v>
      </c>
      <c r="I121" s="6" t="s">
        <v>89</v>
      </c>
      <c r="J121" s="6" t="s">
        <v>124</v>
      </c>
      <c r="K121" s="6" t="s">
        <v>110</v>
      </c>
      <c r="L121" s="6">
        <v>6</v>
      </c>
      <c r="M121" s="6">
        <v>659.76</v>
      </c>
      <c r="N121" s="6">
        <v>0</v>
      </c>
    </row>
    <row r="122" spans="1:14" x14ac:dyDescent="0.25">
      <c r="A122" s="6">
        <v>10129</v>
      </c>
      <c r="B122" s="6">
        <v>1040</v>
      </c>
      <c r="C122" s="11">
        <v>44940</v>
      </c>
      <c r="D122" s="11">
        <v>44946</v>
      </c>
      <c r="E122" s="6" t="s">
        <v>97</v>
      </c>
      <c r="F122" s="6" t="s">
        <v>92</v>
      </c>
      <c r="G122" s="6" t="s">
        <v>87</v>
      </c>
      <c r="H122" s="6" t="s">
        <v>107</v>
      </c>
      <c r="I122" s="6" t="s">
        <v>115</v>
      </c>
      <c r="J122" s="6" t="s">
        <v>119</v>
      </c>
      <c r="K122" s="6" t="s">
        <v>84</v>
      </c>
      <c r="L122" s="6">
        <v>3</v>
      </c>
      <c r="M122" s="6">
        <v>1621.67</v>
      </c>
      <c r="N122" s="6">
        <v>0</v>
      </c>
    </row>
    <row r="123" spans="1:14" x14ac:dyDescent="0.25">
      <c r="A123" s="6">
        <v>10130</v>
      </c>
      <c r="B123" s="6">
        <v>1156</v>
      </c>
      <c r="C123" s="11">
        <v>44929</v>
      </c>
      <c r="D123" s="11">
        <v>44938</v>
      </c>
      <c r="E123" s="6" t="s">
        <v>78</v>
      </c>
      <c r="F123" s="6" t="s">
        <v>104</v>
      </c>
      <c r="G123" s="6" t="s">
        <v>80</v>
      </c>
      <c r="H123" s="6" t="s">
        <v>105</v>
      </c>
      <c r="I123" s="6" t="s">
        <v>120</v>
      </c>
      <c r="J123" s="6" t="s">
        <v>125</v>
      </c>
      <c r="K123" s="6" t="s">
        <v>96</v>
      </c>
      <c r="L123" s="6">
        <v>1</v>
      </c>
      <c r="M123" s="6">
        <v>2534.4699999999998</v>
      </c>
      <c r="N123" s="6">
        <v>5</v>
      </c>
    </row>
    <row r="124" spans="1:14" x14ac:dyDescent="0.25">
      <c r="A124" s="6">
        <v>10131</v>
      </c>
      <c r="B124" s="6">
        <v>1014</v>
      </c>
      <c r="C124" s="11">
        <v>45142</v>
      </c>
      <c r="D124" s="11">
        <v>45151</v>
      </c>
      <c r="E124" s="6" t="s">
        <v>97</v>
      </c>
      <c r="F124" s="6" t="s">
        <v>101</v>
      </c>
      <c r="G124" s="6" t="s">
        <v>87</v>
      </c>
      <c r="H124" s="6" t="s">
        <v>107</v>
      </c>
      <c r="I124" s="6" t="s">
        <v>94</v>
      </c>
      <c r="J124" s="6" t="s">
        <v>95</v>
      </c>
      <c r="K124" s="6" t="s">
        <v>84</v>
      </c>
      <c r="L124" s="6">
        <v>7</v>
      </c>
      <c r="M124" s="6">
        <v>1899.45</v>
      </c>
      <c r="N124" s="6">
        <v>15</v>
      </c>
    </row>
    <row r="125" spans="1:14" x14ac:dyDescent="0.25">
      <c r="A125" s="6">
        <v>10132</v>
      </c>
      <c r="B125" s="6">
        <v>1812</v>
      </c>
      <c r="C125" s="11">
        <v>45155</v>
      </c>
      <c r="D125" s="11">
        <v>45163</v>
      </c>
      <c r="E125" s="6" t="s">
        <v>97</v>
      </c>
      <c r="F125" s="6" t="s">
        <v>92</v>
      </c>
      <c r="G125" s="6" t="s">
        <v>87</v>
      </c>
      <c r="H125" s="6" t="s">
        <v>98</v>
      </c>
      <c r="I125" s="6" t="s">
        <v>120</v>
      </c>
      <c r="J125" s="6" t="s">
        <v>121</v>
      </c>
      <c r="K125" s="6" t="s">
        <v>110</v>
      </c>
      <c r="L125" s="6">
        <v>4</v>
      </c>
      <c r="M125" s="6">
        <v>3153.73</v>
      </c>
      <c r="N125" s="6">
        <v>0</v>
      </c>
    </row>
    <row r="126" spans="1:14" x14ac:dyDescent="0.25">
      <c r="A126" s="6">
        <v>10133</v>
      </c>
      <c r="B126" s="6">
        <v>1064</v>
      </c>
      <c r="C126" s="11">
        <v>45262</v>
      </c>
      <c r="D126" s="11">
        <v>45267</v>
      </c>
      <c r="E126" s="6" t="s">
        <v>103</v>
      </c>
      <c r="F126" s="6" t="s">
        <v>79</v>
      </c>
      <c r="G126" s="6" t="s">
        <v>80</v>
      </c>
      <c r="H126" s="6" t="s">
        <v>81</v>
      </c>
      <c r="I126" s="6" t="s">
        <v>94</v>
      </c>
      <c r="J126" s="6" t="s">
        <v>111</v>
      </c>
      <c r="K126" s="6" t="s">
        <v>91</v>
      </c>
      <c r="L126" s="6">
        <v>1</v>
      </c>
      <c r="M126" s="6">
        <v>3990.85</v>
      </c>
      <c r="N126" s="6">
        <v>0</v>
      </c>
    </row>
    <row r="127" spans="1:14" x14ac:dyDescent="0.25">
      <c r="A127" s="6">
        <v>10135</v>
      </c>
      <c r="B127" s="6">
        <v>1838</v>
      </c>
      <c r="C127" s="11">
        <v>44981</v>
      </c>
      <c r="D127" s="11">
        <v>44990</v>
      </c>
      <c r="E127" s="6" t="s">
        <v>103</v>
      </c>
      <c r="F127" s="6" t="s">
        <v>79</v>
      </c>
      <c r="G127" s="6" t="s">
        <v>80</v>
      </c>
      <c r="H127" s="6" t="s">
        <v>88</v>
      </c>
      <c r="I127" s="6" t="s">
        <v>82</v>
      </c>
      <c r="J127" s="6" t="s">
        <v>106</v>
      </c>
      <c r="K127" s="6" t="s">
        <v>110</v>
      </c>
      <c r="L127" s="6">
        <v>6</v>
      </c>
      <c r="M127" s="6">
        <v>1919.66</v>
      </c>
      <c r="N127" s="6">
        <v>5</v>
      </c>
    </row>
    <row r="128" spans="1:14" x14ac:dyDescent="0.25">
      <c r="A128" s="6">
        <v>10136</v>
      </c>
      <c r="B128" s="6">
        <v>1520</v>
      </c>
      <c r="C128" s="11">
        <v>45180</v>
      </c>
      <c r="D128" s="11">
        <v>45181</v>
      </c>
      <c r="E128" s="6" t="s">
        <v>109</v>
      </c>
      <c r="F128" s="6" t="s">
        <v>86</v>
      </c>
      <c r="G128" s="6" t="s">
        <v>80</v>
      </c>
      <c r="H128" s="6" t="s">
        <v>88</v>
      </c>
      <c r="I128" s="6" t="s">
        <v>94</v>
      </c>
      <c r="J128" s="6" t="s">
        <v>102</v>
      </c>
      <c r="K128" s="6" t="s">
        <v>96</v>
      </c>
      <c r="L128" s="6">
        <v>6</v>
      </c>
      <c r="M128" s="6">
        <v>1809.29</v>
      </c>
      <c r="N128" s="6">
        <v>0</v>
      </c>
    </row>
    <row r="129" spans="1:14" x14ac:dyDescent="0.25">
      <c r="A129" s="6">
        <v>10138</v>
      </c>
      <c r="B129" s="6">
        <v>1128</v>
      </c>
      <c r="C129" s="11">
        <v>45088</v>
      </c>
      <c r="D129" s="11">
        <v>45093</v>
      </c>
      <c r="E129" s="6" t="s">
        <v>85</v>
      </c>
      <c r="F129" s="6" t="s">
        <v>92</v>
      </c>
      <c r="G129" s="6" t="s">
        <v>80</v>
      </c>
      <c r="H129" s="6" t="s">
        <v>98</v>
      </c>
      <c r="I129" s="6" t="s">
        <v>115</v>
      </c>
      <c r="J129" s="6" t="s">
        <v>116</v>
      </c>
      <c r="K129" s="6" t="s">
        <v>84</v>
      </c>
      <c r="L129" s="6">
        <v>1</v>
      </c>
      <c r="M129" s="6">
        <v>912.67</v>
      </c>
      <c r="N129" s="6">
        <v>0</v>
      </c>
    </row>
    <row r="130" spans="1:14" x14ac:dyDescent="0.25">
      <c r="A130" s="6">
        <v>10139</v>
      </c>
      <c r="B130" s="6">
        <v>1647</v>
      </c>
      <c r="C130" s="11">
        <v>45084</v>
      </c>
      <c r="D130" s="11">
        <v>45087</v>
      </c>
      <c r="E130" s="6" t="s">
        <v>109</v>
      </c>
      <c r="F130" s="6" t="s">
        <v>86</v>
      </c>
      <c r="G130" s="6" t="s">
        <v>80</v>
      </c>
      <c r="H130" s="6" t="s">
        <v>105</v>
      </c>
      <c r="I130" s="6" t="s">
        <v>115</v>
      </c>
      <c r="J130" s="6" t="s">
        <v>116</v>
      </c>
      <c r="K130" s="6" t="s">
        <v>108</v>
      </c>
      <c r="L130" s="6">
        <v>2</v>
      </c>
      <c r="M130" s="6">
        <v>402.91</v>
      </c>
      <c r="N130" s="6">
        <v>10</v>
      </c>
    </row>
    <row r="131" spans="1:14" x14ac:dyDescent="0.25">
      <c r="A131" s="6">
        <v>10140</v>
      </c>
      <c r="B131" s="6">
        <v>1471</v>
      </c>
      <c r="C131" s="11">
        <v>45008</v>
      </c>
      <c r="D131" s="11">
        <v>45015</v>
      </c>
      <c r="E131" s="6" t="s">
        <v>79</v>
      </c>
      <c r="F131" s="6" t="s">
        <v>117</v>
      </c>
      <c r="G131" s="6" t="s">
        <v>93</v>
      </c>
      <c r="H131" s="6" t="s">
        <v>105</v>
      </c>
      <c r="I131" s="6" t="s">
        <v>120</v>
      </c>
      <c r="J131" s="6" t="s">
        <v>122</v>
      </c>
      <c r="K131" s="6" t="s">
        <v>110</v>
      </c>
      <c r="L131" s="6">
        <v>4</v>
      </c>
      <c r="M131" s="6">
        <v>3565.41</v>
      </c>
      <c r="N131" s="6">
        <v>20</v>
      </c>
    </row>
    <row r="132" spans="1:14" x14ac:dyDescent="0.25">
      <c r="A132" s="6">
        <v>10141</v>
      </c>
      <c r="B132" s="6">
        <v>1062</v>
      </c>
      <c r="C132" s="11">
        <v>45085</v>
      </c>
      <c r="D132" s="11">
        <v>45092</v>
      </c>
      <c r="E132" s="6" t="s">
        <v>100</v>
      </c>
      <c r="F132" s="6" t="s">
        <v>92</v>
      </c>
      <c r="G132" s="6" t="s">
        <v>80</v>
      </c>
      <c r="H132" s="6" t="s">
        <v>88</v>
      </c>
      <c r="I132" s="6" t="s">
        <v>94</v>
      </c>
      <c r="J132" s="6" t="s">
        <v>102</v>
      </c>
      <c r="K132" s="6" t="s">
        <v>91</v>
      </c>
      <c r="L132" s="6">
        <v>2</v>
      </c>
      <c r="M132" s="6">
        <v>1766.42</v>
      </c>
      <c r="N132" s="6">
        <v>10</v>
      </c>
    </row>
    <row r="133" spans="1:14" x14ac:dyDescent="0.25">
      <c r="A133" s="6">
        <v>10142</v>
      </c>
      <c r="B133" s="6">
        <v>1138</v>
      </c>
      <c r="C133" s="11">
        <v>45114</v>
      </c>
      <c r="D133" s="11">
        <v>45123</v>
      </c>
      <c r="E133" s="6" t="s">
        <v>79</v>
      </c>
      <c r="F133" s="6" t="s">
        <v>101</v>
      </c>
      <c r="G133" s="6" t="s">
        <v>80</v>
      </c>
      <c r="H133" s="6" t="s">
        <v>105</v>
      </c>
      <c r="I133" s="6" t="s">
        <v>112</v>
      </c>
      <c r="J133" s="6" t="s">
        <v>114</v>
      </c>
      <c r="K133" s="6" t="s">
        <v>96</v>
      </c>
      <c r="L133" s="6">
        <v>1</v>
      </c>
      <c r="M133" s="6">
        <v>2063.0500000000002</v>
      </c>
      <c r="N133" s="6">
        <v>0</v>
      </c>
    </row>
    <row r="134" spans="1:14" x14ac:dyDescent="0.25">
      <c r="A134" s="6">
        <v>10143</v>
      </c>
      <c r="B134" s="6">
        <v>1498</v>
      </c>
      <c r="C134" s="11">
        <v>44986</v>
      </c>
      <c r="D134" s="11">
        <v>44993</v>
      </c>
      <c r="E134" s="6" t="s">
        <v>100</v>
      </c>
      <c r="F134" s="6" t="s">
        <v>117</v>
      </c>
      <c r="G134" s="6" t="s">
        <v>93</v>
      </c>
      <c r="H134" s="6" t="s">
        <v>88</v>
      </c>
      <c r="I134" s="6" t="s">
        <v>120</v>
      </c>
      <c r="J134" s="6" t="s">
        <v>121</v>
      </c>
      <c r="K134" s="6" t="s">
        <v>84</v>
      </c>
      <c r="L134" s="6">
        <v>7</v>
      </c>
      <c r="M134" s="6">
        <v>3680.23</v>
      </c>
      <c r="N134" s="6">
        <v>5</v>
      </c>
    </row>
    <row r="135" spans="1:14" x14ac:dyDescent="0.25">
      <c r="A135" s="6">
        <v>10144</v>
      </c>
      <c r="B135" s="6">
        <v>1592</v>
      </c>
      <c r="C135" s="11">
        <v>45231</v>
      </c>
      <c r="D135" s="11">
        <v>45234</v>
      </c>
      <c r="E135" s="6" t="s">
        <v>103</v>
      </c>
      <c r="F135" s="6" t="s">
        <v>117</v>
      </c>
      <c r="G135" s="6" t="s">
        <v>93</v>
      </c>
      <c r="H135" s="6" t="s">
        <v>81</v>
      </c>
      <c r="I135" s="6" t="s">
        <v>82</v>
      </c>
      <c r="J135" s="6" t="s">
        <v>118</v>
      </c>
      <c r="K135" s="6" t="s">
        <v>96</v>
      </c>
      <c r="L135" s="6">
        <v>8</v>
      </c>
      <c r="M135" s="6">
        <v>3138.72</v>
      </c>
      <c r="N135" s="6">
        <v>20</v>
      </c>
    </row>
    <row r="136" spans="1:14" x14ac:dyDescent="0.25">
      <c r="A136" s="6">
        <v>10145</v>
      </c>
      <c r="B136" s="6">
        <v>1391</v>
      </c>
      <c r="C136" s="11">
        <v>45245</v>
      </c>
      <c r="D136" s="11">
        <v>45246</v>
      </c>
      <c r="E136" s="6" t="s">
        <v>100</v>
      </c>
      <c r="F136" s="6" t="s">
        <v>101</v>
      </c>
      <c r="G136" s="6" t="s">
        <v>87</v>
      </c>
      <c r="H136" s="6" t="s">
        <v>98</v>
      </c>
      <c r="I136" s="6" t="s">
        <v>120</v>
      </c>
      <c r="J136" s="6" t="s">
        <v>122</v>
      </c>
      <c r="K136" s="6" t="s">
        <v>110</v>
      </c>
      <c r="L136" s="6">
        <v>6</v>
      </c>
      <c r="M136" s="6">
        <v>652.42999999999995</v>
      </c>
      <c r="N136" s="6">
        <v>10</v>
      </c>
    </row>
    <row r="137" spans="1:14" x14ac:dyDescent="0.25">
      <c r="A137" s="6">
        <v>10146</v>
      </c>
      <c r="B137" s="6">
        <v>1674</v>
      </c>
      <c r="C137" s="11">
        <v>45137</v>
      </c>
      <c r="D137" s="11">
        <v>45145</v>
      </c>
      <c r="E137" s="6" t="s">
        <v>103</v>
      </c>
      <c r="F137" s="6" t="s">
        <v>104</v>
      </c>
      <c r="G137" s="6" t="s">
        <v>93</v>
      </c>
      <c r="H137" s="6" t="s">
        <v>105</v>
      </c>
      <c r="I137" s="6" t="s">
        <v>120</v>
      </c>
      <c r="J137" s="6" t="s">
        <v>125</v>
      </c>
      <c r="K137" s="6" t="s">
        <v>96</v>
      </c>
      <c r="L137" s="6">
        <v>4</v>
      </c>
      <c r="M137" s="6">
        <v>2326.87</v>
      </c>
      <c r="N137" s="6">
        <v>15</v>
      </c>
    </row>
    <row r="138" spans="1:14" x14ac:dyDescent="0.25">
      <c r="A138" s="6">
        <v>10147</v>
      </c>
      <c r="B138" s="6">
        <v>1418</v>
      </c>
      <c r="C138" s="11">
        <v>45078</v>
      </c>
      <c r="D138" s="11">
        <v>45081</v>
      </c>
      <c r="E138" s="6" t="s">
        <v>85</v>
      </c>
      <c r="F138" s="6" t="s">
        <v>117</v>
      </c>
      <c r="G138" s="6" t="s">
        <v>87</v>
      </c>
      <c r="H138" s="6" t="s">
        <v>88</v>
      </c>
      <c r="I138" s="6" t="s">
        <v>94</v>
      </c>
      <c r="J138" s="6" t="s">
        <v>111</v>
      </c>
      <c r="K138" s="6" t="s">
        <v>84</v>
      </c>
      <c r="L138" s="6">
        <v>6</v>
      </c>
      <c r="M138" s="6">
        <v>1852.67</v>
      </c>
      <c r="N138" s="6">
        <v>5</v>
      </c>
    </row>
    <row r="139" spans="1:14" x14ac:dyDescent="0.25">
      <c r="A139" s="6">
        <v>10148</v>
      </c>
      <c r="B139" s="6">
        <v>1288</v>
      </c>
      <c r="C139" s="11">
        <v>45035</v>
      </c>
      <c r="D139" s="11">
        <v>45043</v>
      </c>
      <c r="E139" s="6" t="s">
        <v>97</v>
      </c>
      <c r="F139" s="6" t="s">
        <v>92</v>
      </c>
      <c r="G139" s="6" t="s">
        <v>93</v>
      </c>
      <c r="H139" s="6" t="s">
        <v>107</v>
      </c>
      <c r="I139" s="6" t="s">
        <v>82</v>
      </c>
      <c r="J139" s="6" t="s">
        <v>83</v>
      </c>
      <c r="K139" s="6" t="s">
        <v>110</v>
      </c>
      <c r="L139" s="6">
        <v>3</v>
      </c>
      <c r="M139" s="6">
        <v>3219.26</v>
      </c>
      <c r="N139" s="6">
        <v>10</v>
      </c>
    </row>
    <row r="140" spans="1:14" x14ac:dyDescent="0.25">
      <c r="A140" s="6">
        <v>10149</v>
      </c>
      <c r="B140" s="6">
        <v>1378</v>
      </c>
      <c r="C140" s="11">
        <v>45002</v>
      </c>
      <c r="D140" s="11">
        <v>45010</v>
      </c>
      <c r="E140" s="6" t="s">
        <v>85</v>
      </c>
      <c r="F140" s="6" t="s">
        <v>86</v>
      </c>
      <c r="G140" s="6" t="s">
        <v>93</v>
      </c>
      <c r="H140" s="6" t="s">
        <v>105</v>
      </c>
      <c r="I140" s="6" t="s">
        <v>120</v>
      </c>
      <c r="J140" s="6" t="s">
        <v>125</v>
      </c>
      <c r="K140" s="6" t="s">
        <v>96</v>
      </c>
      <c r="L140" s="6">
        <v>8</v>
      </c>
      <c r="M140" s="6">
        <v>2938.3</v>
      </c>
      <c r="N140" s="6">
        <v>15</v>
      </c>
    </row>
    <row r="141" spans="1:14" x14ac:dyDescent="0.25">
      <c r="A141" s="6">
        <v>10150</v>
      </c>
      <c r="B141" s="6">
        <v>1772</v>
      </c>
      <c r="C141" s="11">
        <v>44956</v>
      </c>
      <c r="D141" s="11">
        <v>44961</v>
      </c>
      <c r="E141" s="6" t="s">
        <v>85</v>
      </c>
      <c r="F141" s="6" t="s">
        <v>117</v>
      </c>
      <c r="G141" s="6" t="s">
        <v>87</v>
      </c>
      <c r="H141" s="6" t="s">
        <v>81</v>
      </c>
      <c r="I141" s="6" t="s">
        <v>112</v>
      </c>
      <c r="J141" s="6" t="s">
        <v>114</v>
      </c>
      <c r="K141" s="6" t="s">
        <v>91</v>
      </c>
      <c r="L141" s="6">
        <v>2</v>
      </c>
      <c r="M141" s="6">
        <v>2808.06</v>
      </c>
      <c r="N141" s="6">
        <v>0</v>
      </c>
    </row>
    <row r="142" spans="1:14" x14ac:dyDescent="0.25">
      <c r="A142" s="6">
        <v>10151</v>
      </c>
      <c r="B142" s="6">
        <v>1489</v>
      </c>
      <c r="C142" s="11">
        <v>45240</v>
      </c>
      <c r="D142" s="11">
        <v>45241</v>
      </c>
      <c r="E142" s="6" t="s">
        <v>97</v>
      </c>
      <c r="F142" s="6" t="s">
        <v>92</v>
      </c>
      <c r="G142" s="6" t="s">
        <v>93</v>
      </c>
      <c r="H142" s="6" t="s">
        <v>81</v>
      </c>
      <c r="I142" s="6" t="s">
        <v>112</v>
      </c>
      <c r="J142" s="6" t="s">
        <v>126</v>
      </c>
      <c r="K142" s="6" t="s">
        <v>110</v>
      </c>
      <c r="L142" s="6">
        <v>5</v>
      </c>
      <c r="M142" s="6">
        <v>1461.1</v>
      </c>
      <c r="N142" s="6">
        <v>15</v>
      </c>
    </row>
    <row r="143" spans="1:14" x14ac:dyDescent="0.25">
      <c r="A143" s="6">
        <v>10152</v>
      </c>
      <c r="B143" s="6">
        <v>1230</v>
      </c>
      <c r="C143" s="11">
        <v>45043</v>
      </c>
      <c r="D143" s="11">
        <v>45050</v>
      </c>
      <c r="E143" s="6" t="s">
        <v>100</v>
      </c>
      <c r="F143" s="6" t="s">
        <v>79</v>
      </c>
      <c r="G143" s="6" t="s">
        <v>87</v>
      </c>
      <c r="H143" s="6" t="s">
        <v>107</v>
      </c>
      <c r="I143" s="6" t="s">
        <v>115</v>
      </c>
      <c r="J143" s="6" t="s">
        <v>119</v>
      </c>
      <c r="K143" s="6" t="s">
        <v>110</v>
      </c>
      <c r="L143" s="6">
        <v>1</v>
      </c>
      <c r="M143" s="6">
        <v>3249.11</v>
      </c>
      <c r="N143" s="6">
        <v>10</v>
      </c>
    </row>
    <row r="144" spans="1:14" x14ac:dyDescent="0.25">
      <c r="A144" s="6">
        <v>10154</v>
      </c>
      <c r="B144" s="6">
        <v>1027</v>
      </c>
      <c r="C144" s="11">
        <v>45118</v>
      </c>
      <c r="D144" s="11">
        <v>45126</v>
      </c>
      <c r="E144" s="6" t="s">
        <v>103</v>
      </c>
      <c r="F144" s="6" t="s">
        <v>86</v>
      </c>
      <c r="G144" s="6" t="s">
        <v>80</v>
      </c>
      <c r="H144" s="6" t="s">
        <v>105</v>
      </c>
      <c r="I144" s="6" t="s">
        <v>82</v>
      </c>
      <c r="J144" s="6" t="s">
        <v>106</v>
      </c>
      <c r="K144" s="6" t="s">
        <v>108</v>
      </c>
      <c r="L144" s="6">
        <v>2</v>
      </c>
      <c r="M144" s="6">
        <v>764.56</v>
      </c>
      <c r="N144" s="6">
        <v>0</v>
      </c>
    </row>
    <row r="145" spans="1:14" x14ac:dyDescent="0.25">
      <c r="A145" s="6">
        <v>10155</v>
      </c>
      <c r="B145" s="6">
        <v>1134</v>
      </c>
      <c r="C145" s="11">
        <v>44945</v>
      </c>
      <c r="D145" s="11">
        <v>44954</v>
      </c>
      <c r="E145" s="6" t="s">
        <v>79</v>
      </c>
      <c r="F145" s="6" t="s">
        <v>92</v>
      </c>
      <c r="G145" s="6" t="s">
        <v>93</v>
      </c>
      <c r="H145" s="6" t="s">
        <v>88</v>
      </c>
      <c r="I145" s="6" t="s">
        <v>115</v>
      </c>
      <c r="J145" s="6" t="s">
        <v>119</v>
      </c>
      <c r="K145" s="6" t="s">
        <v>84</v>
      </c>
      <c r="L145" s="6">
        <v>4</v>
      </c>
      <c r="M145" s="6">
        <v>1442.15</v>
      </c>
      <c r="N145" s="6">
        <v>15</v>
      </c>
    </row>
    <row r="146" spans="1:14" x14ac:dyDescent="0.25">
      <c r="A146" s="6">
        <v>10156</v>
      </c>
      <c r="B146" s="6">
        <v>1200</v>
      </c>
      <c r="C146" s="11">
        <v>45099</v>
      </c>
      <c r="D146" s="11">
        <v>45106</v>
      </c>
      <c r="E146" s="6" t="s">
        <v>103</v>
      </c>
      <c r="F146" s="6" t="s">
        <v>101</v>
      </c>
      <c r="G146" s="6" t="s">
        <v>87</v>
      </c>
      <c r="H146" s="6" t="s">
        <v>81</v>
      </c>
      <c r="I146" s="6" t="s">
        <v>120</v>
      </c>
      <c r="J146" s="6" t="s">
        <v>122</v>
      </c>
      <c r="K146" s="6" t="s">
        <v>108</v>
      </c>
      <c r="L146" s="6">
        <v>6</v>
      </c>
      <c r="M146" s="6">
        <v>445.71</v>
      </c>
      <c r="N146" s="6">
        <v>15</v>
      </c>
    </row>
    <row r="147" spans="1:14" x14ac:dyDescent="0.25">
      <c r="A147" s="6">
        <v>10157</v>
      </c>
      <c r="B147" s="6">
        <v>1839</v>
      </c>
      <c r="C147" s="11">
        <v>45154</v>
      </c>
      <c r="D147" s="11">
        <v>45161</v>
      </c>
      <c r="E147" s="6" t="s">
        <v>79</v>
      </c>
      <c r="F147" s="6" t="s">
        <v>86</v>
      </c>
      <c r="G147" s="6" t="s">
        <v>93</v>
      </c>
      <c r="H147" s="6" t="s">
        <v>88</v>
      </c>
      <c r="I147" s="6" t="s">
        <v>82</v>
      </c>
      <c r="J147" s="6" t="s">
        <v>83</v>
      </c>
      <c r="K147" s="6" t="s">
        <v>96</v>
      </c>
      <c r="L147" s="6">
        <v>8</v>
      </c>
      <c r="M147" s="6">
        <v>1054.73</v>
      </c>
      <c r="N147" s="6">
        <v>0</v>
      </c>
    </row>
    <row r="148" spans="1:14" x14ac:dyDescent="0.25">
      <c r="A148" s="6">
        <v>10158</v>
      </c>
      <c r="B148" s="6">
        <v>1779</v>
      </c>
      <c r="C148" s="11">
        <v>45276</v>
      </c>
      <c r="D148" s="11">
        <v>45277</v>
      </c>
      <c r="E148" s="6" t="s">
        <v>85</v>
      </c>
      <c r="F148" s="6" t="s">
        <v>104</v>
      </c>
      <c r="G148" s="6" t="s">
        <v>87</v>
      </c>
      <c r="H148" s="6" t="s">
        <v>81</v>
      </c>
      <c r="I148" s="6" t="s">
        <v>112</v>
      </c>
      <c r="J148" s="6" t="s">
        <v>126</v>
      </c>
      <c r="K148" s="6" t="s">
        <v>91</v>
      </c>
      <c r="L148" s="6">
        <v>8</v>
      </c>
      <c r="M148" s="6">
        <v>3346.08</v>
      </c>
      <c r="N148" s="6">
        <v>15</v>
      </c>
    </row>
    <row r="149" spans="1:14" x14ac:dyDescent="0.25">
      <c r="A149" s="6">
        <v>10159</v>
      </c>
      <c r="B149" s="6">
        <v>1929</v>
      </c>
      <c r="C149" s="11">
        <v>45109</v>
      </c>
      <c r="D149" s="11">
        <v>45113</v>
      </c>
      <c r="E149" s="6" t="s">
        <v>97</v>
      </c>
      <c r="F149" s="6" t="s">
        <v>79</v>
      </c>
      <c r="G149" s="6" t="s">
        <v>87</v>
      </c>
      <c r="H149" s="6" t="s">
        <v>88</v>
      </c>
      <c r="I149" s="6" t="s">
        <v>112</v>
      </c>
      <c r="J149" s="6" t="s">
        <v>130</v>
      </c>
      <c r="K149" s="6" t="s">
        <v>108</v>
      </c>
      <c r="L149" s="6">
        <v>6</v>
      </c>
      <c r="M149" s="6">
        <v>3800.77</v>
      </c>
      <c r="N149" s="6">
        <v>0</v>
      </c>
    </row>
    <row r="150" spans="1:14" x14ac:dyDescent="0.25">
      <c r="A150" s="6">
        <v>10160</v>
      </c>
      <c r="B150" s="6">
        <v>1032</v>
      </c>
      <c r="C150" s="11">
        <v>45039</v>
      </c>
      <c r="D150" s="11">
        <v>45041</v>
      </c>
      <c r="E150" s="6" t="s">
        <v>85</v>
      </c>
      <c r="F150" s="6" t="s">
        <v>101</v>
      </c>
      <c r="G150" s="6" t="s">
        <v>80</v>
      </c>
      <c r="H150" s="6" t="s">
        <v>107</v>
      </c>
      <c r="I150" s="6" t="s">
        <v>94</v>
      </c>
      <c r="J150" s="6" t="s">
        <v>111</v>
      </c>
      <c r="K150" s="6" t="s">
        <v>110</v>
      </c>
      <c r="L150" s="6">
        <v>4</v>
      </c>
      <c r="M150" s="6">
        <v>1322.72</v>
      </c>
      <c r="N150" s="6">
        <v>5</v>
      </c>
    </row>
    <row r="151" spans="1:14" x14ac:dyDescent="0.25">
      <c r="A151" s="6">
        <v>10161</v>
      </c>
      <c r="B151" s="6">
        <v>1047</v>
      </c>
      <c r="C151" s="11">
        <v>45109</v>
      </c>
      <c r="D151" s="11">
        <v>45111</v>
      </c>
      <c r="E151" s="6" t="s">
        <v>109</v>
      </c>
      <c r="F151" s="6" t="s">
        <v>104</v>
      </c>
      <c r="G151" s="6" t="s">
        <v>80</v>
      </c>
      <c r="H151" s="6" t="s">
        <v>98</v>
      </c>
      <c r="I151" s="6" t="s">
        <v>82</v>
      </c>
      <c r="J151" s="6" t="s">
        <v>83</v>
      </c>
      <c r="K151" s="6" t="s">
        <v>96</v>
      </c>
      <c r="L151" s="6">
        <v>8</v>
      </c>
      <c r="M151" s="6">
        <v>1168.3900000000001</v>
      </c>
      <c r="N151" s="6">
        <v>10</v>
      </c>
    </row>
    <row r="152" spans="1:14" x14ac:dyDescent="0.25">
      <c r="A152" s="6">
        <v>10162</v>
      </c>
      <c r="B152" s="6">
        <v>1502</v>
      </c>
      <c r="C152" s="11">
        <v>45072</v>
      </c>
      <c r="D152" s="11">
        <v>45074</v>
      </c>
      <c r="E152" s="6" t="s">
        <v>100</v>
      </c>
      <c r="F152" s="6" t="s">
        <v>92</v>
      </c>
      <c r="G152" s="6" t="s">
        <v>87</v>
      </c>
      <c r="H152" s="6" t="s">
        <v>107</v>
      </c>
      <c r="I152" s="6" t="s">
        <v>120</v>
      </c>
      <c r="J152" s="6" t="s">
        <v>121</v>
      </c>
      <c r="K152" s="6" t="s">
        <v>96</v>
      </c>
      <c r="L152" s="6">
        <v>8</v>
      </c>
      <c r="M152" s="6">
        <v>1227.5899999999999</v>
      </c>
      <c r="N152" s="6">
        <v>5</v>
      </c>
    </row>
    <row r="153" spans="1:14" x14ac:dyDescent="0.25">
      <c r="A153" s="6">
        <v>10163</v>
      </c>
      <c r="B153" s="6">
        <v>1406</v>
      </c>
      <c r="C153" s="11">
        <v>45245</v>
      </c>
      <c r="D153" s="11">
        <v>45249</v>
      </c>
      <c r="E153" s="6" t="s">
        <v>79</v>
      </c>
      <c r="F153" s="6" t="s">
        <v>86</v>
      </c>
      <c r="G153" s="6" t="s">
        <v>93</v>
      </c>
      <c r="H153" s="6" t="s">
        <v>107</v>
      </c>
      <c r="I153" s="6" t="s">
        <v>115</v>
      </c>
      <c r="J153" s="6" t="s">
        <v>116</v>
      </c>
      <c r="K153" s="6" t="s">
        <v>108</v>
      </c>
      <c r="L153" s="6">
        <v>1</v>
      </c>
      <c r="M153" s="6">
        <v>1219.22</v>
      </c>
      <c r="N153" s="6">
        <v>20</v>
      </c>
    </row>
    <row r="154" spans="1:14" x14ac:dyDescent="0.25">
      <c r="A154" s="6">
        <v>10164</v>
      </c>
      <c r="B154" s="6">
        <v>1573</v>
      </c>
      <c r="C154" s="11">
        <v>45042</v>
      </c>
      <c r="D154" s="11">
        <v>45043</v>
      </c>
      <c r="E154" s="6" t="s">
        <v>103</v>
      </c>
      <c r="F154" s="6" t="s">
        <v>79</v>
      </c>
      <c r="G154" s="6" t="s">
        <v>87</v>
      </c>
      <c r="H154" s="6" t="s">
        <v>98</v>
      </c>
      <c r="I154" s="6" t="s">
        <v>115</v>
      </c>
      <c r="J154" s="6" t="s">
        <v>127</v>
      </c>
      <c r="K154" s="6" t="s">
        <v>108</v>
      </c>
      <c r="L154" s="6">
        <v>4</v>
      </c>
      <c r="M154" s="6">
        <v>288.33</v>
      </c>
      <c r="N154" s="6">
        <v>20</v>
      </c>
    </row>
    <row r="155" spans="1:14" x14ac:dyDescent="0.25">
      <c r="A155" s="6">
        <v>10165</v>
      </c>
      <c r="B155" s="6">
        <v>1727</v>
      </c>
      <c r="C155" s="11">
        <v>45039</v>
      </c>
      <c r="D155" s="11">
        <v>45043</v>
      </c>
      <c r="E155" s="6" t="s">
        <v>97</v>
      </c>
      <c r="F155" s="6" t="s">
        <v>101</v>
      </c>
      <c r="G155" s="6" t="s">
        <v>87</v>
      </c>
      <c r="H155" s="6" t="s">
        <v>98</v>
      </c>
      <c r="I155" s="6" t="s">
        <v>120</v>
      </c>
      <c r="J155" s="6" t="s">
        <v>125</v>
      </c>
      <c r="K155" s="6" t="s">
        <v>91</v>
      </c>
      <c r="L155" s="6">
        <v>4</v>
      </c>
      <c r="M155" s="6">
        <v>3718.63</v>
      </c>
      <c r="N155" s="6">
        <v>20</v>
      </c>
    </row>
    <row r="156" spans="1:14" x14ac:dyDescent="0.25">
      <c r="A156" s="6">
        <v>10166</v>
      </c>
      <c r="B156" s="6">
        <v>1804</v>
      </c>
      <c r="C156" s="11">
        <v>45177</v>
      </c>
      <c r="D156" s="11">
        <v>45179</v>
      </c>
      <c r="E156" s="6" t="s">
        <v>79</v>
      </c>
      <c r="F156" s="6" t="s">
        <v>104</v>
      </c>
      <c r="G156" s="6" t="s">
        <v>93</v>
      </c>
      <c r="H156" s="6" t="s">
        <v>105</v>
      </c>
      <c r="I156" s="6" t="s">
        <v>89</v>
      </c>
      <c r="J156" s="6" t="s">
        <v>90</v>
      </c>
      <c r="K156" s="6" t="s">
        <v>84</v>
      </c>
      <c r="L156" s="6">
        <v>7</v>
      </c>
      <c r="M156" s="6">
        <v>972.74</v>
      </c>
      <c r="N156" s="6">
        <v>0</v>
      </c>
    </row>
    <row r="157" spans="1:14" x14ac:dyDescent="0.25">
      <c r="A157" s="6">
        <v>10167</v>
      </c>
      <c r="B157" s="6">
        <v>1098</v>
      </c>
      <c r="C157" s="11">
        <v>45177</v>
      </c>
      <c r="D157" s="11">
        <v>45182</v>
      </c>
      <c r="E157" s="6" t="s">
        <v>103</v>
      </c>
      <c r="F157" s="6" t="s">
        <v>104</v>
      </c>
      <c r="G157" s="6" t="s">
        <v>93</v>
      </c>
      <c r="H157" s="6" t="s">
        <v>105</v>
      </c>
      <c r="I157" s="6" t="s">
        <v>94</v>
      </c>
      <c r="J157" s="6" t="s">
        <v>95</v>
      </c>
      <c r="K157" s="6" t="s">
        <v>108</v>
      </c>
      <c r="L157" s="6">
        <v>7</v>
      </c>
      <c r="M157" s="6">
        <v>1767.02</v>
      </c>
      <c r="N157" s="6">
        <v>15</v>
      </c>
    </row>
    <row r="158" spans="1:14" x14ac:dyDescent="0.25">
      <c r="A158" s="6">
        <v>10168</v>
      </c>
      <c r="B158" s="6">
        <v>1683</v>
      </c>
      <c r="C158" s="11">
        <v>45229</v>
      </c>
      <c r="D158" s="11">
        <v>45232</v>
      </c>
      <c r="E158" s="6" t="s">
        <v>100</v>
      </c>
      <c r="F158" s="6" t="s">
        <v>79</v>
      </c>
      <c r="G158" s="6" t="s">
        <v>93</v>
      </c>
      <c r="H158" s="6" t="s">
        <v>107</v>
      </c>
      <c r="I158" s="6" t="s">
        <v>115</v>
      </c>
      <c r="J158" s="6" t="s">
        <v>119</v>
      </c>
      <c r="K158" s="6" t="s">
        <v>108</v>
      </c>
      <c r="L158" s="6">
        <v>8</v>
      </c>
      <c r="M158" s="6">
        <v>187.29</v>
      </c>
      <c r="N158" s="6">
        <v>5</v>
      </c>
    </row>
    <row r="159" spans="1:14" x14ac:dyDescent="0.25">
      <c r="A159" s="6">
        <v>10170</v>
      </c>
      <c r="B159" s="6">
        <v>1725</v>
      </c>
      <c r="C159" s="11">
        <v>45044</v>
      </c>
      <c r="D159" s="11">
        <v>45048</v>
      </c>
      <c r="E159" s="6" t="s">
        <v>100</v>
      </c>
      <c r="F159" s="6" t="s">
        <v>79</v>
      </c>
      <c r="G159" s="6" t="s">
        <v>87</v>
      </c>
      <c r="H159" s="6" t="s">
        <v>81</v>
      </c>
      <c r="I159" s="6" t="s">
        <v>94</v>
      </c>
      <c r="J159" s="6" t="s">
        <v>128</v>
      </c>
      <c r="K159" s="6" t="s">
        <v>96</v>
      </c>
      <c r="L159" s="6">
        <v>7</v>
      </c>
      <c r="M159" s="6">
        <v>2964.96</v>
      </c>
      <c r="N159" s="6">
        <v>5</v>
      </c>
    </row>
    <row r="160" spans="1:14" x14ac:dyDescent="0.25">
      <c r="A160" s="6">
        <v>10171</v>
      </c>
      <c r="B160" s="6">
        <v>1986</v>
      </c>
      <c r="C160" s="11">
        <v>45227</v>
      </c>
      <c r="D160" s="11">
        <v>45228</v>
      </c>
      <c r="E160" s="6" t="s">
        <v>78</v>
      </c>
      <c r="F160" s="6" t="s">
        <v>104</v>
      </c>
      <c r="G160" s="6" t="s">
        <v>87</v>
      </c>
      <c r="H160" s="6" t="s">
        <v>81</v>
      </c>
      <c r="I160" s="6" t="s">
        <v>82</v>
      </c>
      <c r="J160" s="6" t="s">
        <v>106</v>
      </c>
      <c r="K160" s="6" t="s">
        <v>84</v>
      </c>
      <c r="L160" s="6">
        <v>8</v>
      </c>
      <c r="M160" s="6">
        <v>3795.01</v>
      </c>
      <c r="N160" s="6">
        <v>5</v>
      </c>
    </row>
    <row r="161" spans="1:14" x14ac:dyDescent="0.25">
      <c r="A161" s="6">
        <v>10172</v>
      </c>
      <c r="B161" s="6">
        <v>1546</v>
      </c>
      <c r="C161" s="11">
        <v>45087</v>
      </c>
      <c r="D161" s="11">
        <v>45088</v>
      </c>
      <c r="E161" s="6" t="s">
        <v>109</v>
      </c>
      <c r="F161" s="6" t="s">
        <v>117</v>
      </c>
      <c r="G161" s="6" t="s">
        <v>80</v>
      </c>
      <c r="H161" s="6" t="s">
        <v>105</v>
      </c>
      <c r="I161" s="6" t="s">
        <v>112</v>
      </c>
      <c r="J161" s="6" t="s">
        <v>126</v>
      </c>
      <c r="K161" s="6" t="s">
        <v>110</v>
      </c>
      <c r="L161" s="6">
        <v>9</v>
      </c>
      <c r="M161" s="6">
        <v>3159.22</v>
      </c>
      <c r="N161" s="6">
        <v>20</v>
      </c>
    </row>
    <row r="162" spans="1:14" x14ac:dyDescent="0.25">
      <c r="A162" s="6">
        <v>10173</v>
      </c>
      <c r="B162" s="6">
        <v>1960</v>
      </c>
      <c r="C162" s="11">
        <v>45124</v>
      </c>
      <c r="D162" s="11">
        <v>45127</v>
      </c>
      <c r="E162" s="6" t="s">
        <v>78</v>
      </c>
      <c r="F162" s="6" t="s">
        <v>101</v>
      </c>
      <c r="G162" s="6" t="s">
        <v>87</v>
      </c>
      <c r="H162" s="6" t="s">
        <v>105</v>
      </c>
      <c r="I162" s="6" t="s">
        <v>94</v>
      </c>
      <c r="J162" s="6" t="s">
        <v>128</v>
      </c>
      <c r="K162" s="6" t="s">
        <v>91</v>
      </c>
      <c r="L162" s="6">
        <v>3</v>
      </c>
      <c r="M162" s="6">
        <v>1357.77</v>
      </c>
      <c r="N162" s="6">
        <v>5</v>
      </c>
    </row>
    <row r="163" spans="1:14" x14ac:dyDescent="0.25">
      <c r="A163" s="6">
        <v>10174</v>
      </c>
      <c r="B163" s="6">
        <v>1738</v>
      </c>
      <c r="C163" s="11">
        <v>45186</v>
      </c>
      <c r="D163" s="11">
        <v>45195</v>
      </c>
      <c r="E163" s="6" t="s">
        <v>97</v>
      </c>
      <c r="F163" s="6" t="s">
        <v>79</v>
      </c>
      <c r="G163" s="6" t="s">
        <v>93</v>
      </c>
      <c r="H163" s="6" t="s">
        <v>81</v>
      </c>
      <c r="I163" s="6" t="s">
        <v>115</v>
      </c>
      <c r="J163" s="6" t="s">
        <v>116</v>
      </c>
      <c r="K163" s="6" t="s">
        <v>91</v>
      </c>
      <c r="L163" s="6">
        <v>3</v>
      </c>
      <c r="M163" s="6">
        <v>1104.31</v>
      </c>
      <c r="N163" s="6">
        <v>15</v>
      </c>
    </row>
    <row r="164" spans="1:14" x14ac:dyDescent="0.25">
      <c r="A164" s="6">
        <v>10175</v>
      </c>
      <c r="B164" s="6">
        <v>1612</v>
      </c>
      <c r="C164" s="11">
        <v>45074</v>
      </c>
      <c r="D164" s="11">
        <v>45081</v>
      </c>
      <c r="E164" s="6" t="s">
        <v>79</v>
      </c>
      <c r="F164" s="6" t="s">
        <v>104</v>
      </c>
      <c r="G164" s="6" t="s">
        <v>80</v>
      </c>
      <c r="H164" s="6" t="s">
        <v>81</v>
      </c>
      <c r="I164" s="6" t="s">
        <v>94</v>
      </c>
      <c r="J164" s="6" t="s">
        <v>95</v>
      </c>
      <c r="K164" s="6" t="s">
        <v>108</v>
      </c>
      <c r="L164" s="6">
        <v>4</v>
      </c>
      <c r="M164" s="6">
        <v>2836.21</v>
      </c>
      <c r="N164" s="6">
        <v>20</v>
      </c>
    </row>
    <row r="165" spans="1:14" x14ac:dyDescent="0.25">
      <c r="A165" s="6">
        <v>10178</v>
      </c>
      <c r="B165" s="6">
        <v>1642</v>
      </c>
      <c r="C165" s="11">
        <v>45124</v>
      </c>
      <c r="D165" s="11">
        <v>45126</v>
      </c>
      <c r="E165" s="6" t="s">
        <v>103</v>
      </c>
      <c r="F165" s="6" t="s">
        <v>92</v>
      </c>
      <c r="G165" s="6" t="s">
        <v>80</v>
      </c>
      <c r="H165" s="6" t="s">
        <v>81</v>
      </c>
      <c r="I165" s="6" t="s">
        <v>89</v>
      </c>
      <c r="J165" s="6" t="s">
        <v>124</v>
      </c>
      <c r="K165" s="6" t="s">
        <v>108</v>
      </c>
      <c r="L165" s="6">
        <v>7</v>
      </c>
      <c r="M165" s="6">
        <v>174.09</v>
      </c>
      <c r="N165" s="6">
        <v>10</v>
      </c>
    </row>
    <row r="166" spans="1:14" x14ac:dyDescent="0.25">
      <c r="A166" s="6">
        <v>10179</v>
      </c>
      <c r="B166" s="6">
        <v>1768</v>
      </c>
      <c r="C166" s="11">
        <v>44973</v>
      </c>
      <c r="D166" s="11">
        <v>44976</v>
      </c>
      <c r="E166" s="6" t="s">
        <v>100</v>
      </c>
      <c r="F166" s="6" t="s">
        <v>79</v>
      </c>
      <c r="G166" s="6" t="s">
        <v>93</v>
      </c>
      <c r="H166" s="6" t="s">
        <v>88</v>
      </c>
      <c r="I166" s="6" t="s">
        <v>94</v>
      </c>
      <c r="J166" s="6" t="s">
        <v>95</v>
      </c>
      <c r="K166" s="6" t="s">
        <v>84</v>
      </c>
      <c r="L166" s="6">
        <v>9</v>
      </c>
      <c r="M166" s="6">
        <v>388.26</v>
      </c>
      <c r="N166" s="6">
        <v>10</v>
      </c>
    </row>
    <row r="167" spans="1:14" x14ac:dyDescent="0.25">
      <c r="A167" s="6">
        <v>10180</v>
      </c>
      <c r="B167" s="6">
        <v>1004</v>
      </c>
      <c r="C167" s="11">
        <v>45004</v>
      </c>
      <c r="D167" s="11">
        <v>45006</v>
      </c>
      <c r="E167" s="6" t="s">
        <v>78</v>
      </c>
      <c r="F167" s="6" t="s">
        <v>92</v>
      </c>
      <c r="G167" s="6" t="s">
        <v>80</v>
      </c>
      <c r="H167" s="6" t="s">
        <v>98</v>
      </c>
      <c r="I167" s="6" t="s">
        <v>82</v>
      </c>
      <c r="J167" s="6" t="s">
        <v>106</v>
      </c>
      <c r="K167" s="6" t="s">
        <v>108</v>
      </c>
      <c r="L167" s="6">
        <v>8</v>
      </c>
      <c r="M167" s="6">
        <v>2211.17</v>
      </c>
      <c r="N167" s="6">
        <v>10</v>
      </c>
    </row>
    <row r="168" spans="1:14" x14ac:dyDescent="0.25">
      <c r="A168" s="6">
        <v>10181</v>
      </c>
      <c r="B168" s="6">
        <v>1217</v>
      </c>
      <c r="C168" s="11">
        <v>45050</v>
      </c>
      <c r="D168" s="11">
        <v>45053</v>
      </c>
      <c r="E168" s="6" t="s">
        <v>78</v>
      </c>
      <c r="F168" s="6" t="s">
        <v>86</v>
      </c>
      <c r="G168" s="6" t="s">
        <v>80</v>
      </c>
      <c r="H168" s="6" t="s">
        <v>105</v>
      </c>
      <c r="I168" s="6" t="s">
        <v>112</v>
      </c>
      <c r="J168" s="6" t="s">
        <v>113</v>
      </c>
      <c r="K168" s="6" t="s">
        <v>96</v>
      </c>
      <c r="L168" s="6">
        <v>5</v>
      </c>
      <c r="M168" s="6">
        <v>2329.38</v>
      </c>
      <c r="N168" s="6">
        <v>20</v>
      </c>
    </row>
    <row r="169" spans="1:14" x14ac:dyDescent="0.25">
      <c r="A169" s="6">
        <v>10183</v>
      </c>
      <c r="B169" s="6">
        <v>1766</v>
      </c>
      <c r="C169" s="11">
        <v>45285</v>
      </c>
      <c r="D169" s="11">
        <v>45294</v>
      </c>
      <c r="E169" s="6" t="s">
        <v>78</v>
      </c>
      <c r="F169" s="6" t="s">
        <v>86</v>
      </c>
      <c r="G169" s="6" t="s">
        <v>93</v>
      </c>
      <c r="H169" s="6" t="s">
        <v>81</v>
      </c>
      <c r="I169" s="6" t="s">
        <v>94</v>
      </c>
      <c r="J169" s="6" t="s">
        <v>102</v>
      </c>
      <c r="K169" s="6" t="s">
        <v>110</v>
      </c>
      <c r="L169" s="6">
        <v>7</v>
      </c>
      <c r="M169" s="6">
        <v>658.07</v>
      </c>
      <c r="N169" s="6">
        <v>20</v>
      </c>
    </row>
    <row r="170" spans="1:14" x14ac:dyDescent="0.25">
      <c r="A170" s="6">
        <v>10184</v>
      </c>
      <c r="B170" s="6">
        <v>1397</v>
      </c>
      <c r="C170" s="11">
        <v>45063</v>
      </c>
      <c r="D170" s="11">
        <v>45072</v>
      </c>
      <c r="E170" s="6" t="s">
        <v>85</v>
      </c>
      <c r="F170" s="6" t="s">
        <v>117</v>
      </c>
      <c r="G170" s="6" t="s">
        <v>80</v>
      </c>
      <c r="H170" s="6" t="s">
        <v>107</v>
      </c>
      <c r="I170" s="6" t="s">
        <v>115</v>
      </c>
      <c r="J170" s="6" t="s">
        <v>127</v>
      </c>
      <c r="K170" s="6" t="s">
        <v>84</v>
      </c>
      <c r="L170" s="6">
        <v>5</v>
      </c>
      <c r="M170" s="6">
        <v>2125.75</v>
      </c>
      <c r="N170" s="6">
        <v>15</v>
      </c>
    </row>
    <row r="171" spans="1:14" x14ac:dyDescent="0.25">
      <c r="A171" s="6">
        <v>10185</v>
      </c>
      <c r="B171" s="6">
        <v>1870</v>
      </c>
      <c r="C171" s="11">
        <v>45016</v>
      </c>
      <c r="D171" s="11">
        <v>45023</v>
      </c>
      <c r="E171" s="6" t="s">
        <v>97</v>
      </c>
      <c r="F171" s="6" t="s">
        <v>79</v>
      </c>
      <c r="G171" s="6" t="s">
        <v>80</v>
      </c>
      <c r="H171" s="6" t="s">
        <v>81</v>
      </c>
      <c r="I171" s="6" t="s">
        <v>94</v>
      </c>
      <c r="J171" s="6" t="s">
        <v>102</v>
      </c>
      <c r="K171" s="6" t="s">
        <v>110</v>
      </c>
      <c r="L171" s="6">
        <v>7</v>
      </c>
      <c r="M171" s="6">
        <v>898.62</v>
      </c>
      <c r="N171" s="6">
        <v>0</v>
      </c>
    </row>
    <row r="172" spans="1:14" x14ac:dyDescent="0.25">
      <c r="A172" s="6">
        <v>10186</v>
      </c>
      <c r="B172" s="6">
        <v>1794</v>
      </c>
      <c r="C172" s="11">
        <v>45251</v>
      </c>
      <c r="D172" s="11">
        <v>45254</v>
      </c>
      <c r="E172" s="6" t="s">
        <v>100</v>
      </c>
      <c r="F172" s="6" t="s">
        <v>104</v>
      </c>
      <c r="G172" s="6" t="s">
        <v>93</v>
      </c>
      <c r="H172" s="6" t="s">
        <v>88</v>
      </c>
      <c r="I172" s="6" t="s">
        <v>115</v>
      </c>
      <c r="J172" s="6" t="s">
        <v>119</v>
      </c>
      <c r="K172" s="6" t="s">
        <v>110</v>
      </c>
      <c r="L172" s="6">
        <v>1</v>
      </c>
      <c r="M172" s="6">
        <v>508.81</v>
      </c>
      <c r="N172" s="6">
        <v>0</v>
      </c>
    </row>
    <row r="173" spans="1:14" x14ac:dyDescent="0.25">
      <c r="A173" s="6">
        <v>10187</v>
      </c>
      <c r="B173" s="6">
        <v>1392</v>
      </c>
      <c r="C173" s="11">
        <v>44987</v>
      </c>
      <c r="D173" s="11">
        <v>44991</v>
      </c>
      <c r="E173" s="6" t="s">
        <v>79</v>
      </c>
      <c r="F173" s="6" t="s">
        <v>104</v>
      </c>
      <c r="G173" s="6" t="s">
        <v>80</v>
      </c>
      <c r="H173" s="6" t="s">
        <v>107</v>
      </c>
      <c r="I173" s="6" t="s">
        <v>82</v>
      </c>
      <c r="J173" s="6" t="s">
        <v>106</v>
      </c>
      <c r="K173" s="6" t="s">
        <v>96</v>
      </c>
      <c r="L173" s="6">
        <v>1</v>
      </c>
      <c r="M173" s="6">
        <v>1730.41</v>
      </c>
      <c r="N173" s="6">
        <v>10</v>
      </c>
    </row>
    <row r="174" spans="1:14" x14ac:dyDescent="0.25">
      <c r="A174" s="6">
        <v>10188</v>
      </c>
      <c r="B174" s="6">
        <v>1206</v>
      </c>
      <c r="C174" s="11">
        <v>45064</v>
      </c>
      <c r="D174" s="11">
        <v>45070</v>
      </c>
      <c r="E174" s="6" t="s">
        <v>103</v>
      </c>
      <c r="F174" s="6" t="s">
        <v>117</v>
      </c>
      <c r="G174" s="6" t="s">
        <v>80</v>
      </c>
      <c r="H174" s="6" t="s">
        <v>88</v>
      </c>
      <c r="I174" s="6" t="s">
        <v>115</v>
      </c>
      <c r="J174" s="6" t="s">
        <v>116</v>
      </c>
      <c r="K174" s="6" t="s">
        <v>84</v>
      </c>
      <c r="L174" s="6">
        <v>3</v>
      </c>
      <c r="M174" s="6">
        <v>778.85</v>
      </c>
      <c r="N174" s="6">
        <v>10</v>
      </c>
    </row>
    <row r="175" spans="1:14" x14ac:dyDescent="0.25">
      <c r="A175" s="6">
        <v>10190</v>
      </c>
      <c r="B175" s="6">
        <v>1857</v>
      </c>
      <c r="C175" s="11">
        <v>45185</v>
      </c>
      <c r="D175" s="11">
        <v>45187</v>
      </c>
      <c r="E175" s="6" t="s">
        <v>97</v>
      </c>
      <c r="F175" s="6" t="s">
        <v>117</v>
      </c>
      <c r="G175" s="6" t="s">
        <v>93</v>
      </c>
      <c r="H175" s="6" t="s">
        <v>88</v>
      </c>
      <c r="I175" s="6" t="s">
        <v>112</v>
      </c>
      <c r="J175" s="6" t="s">
        <v>114</v>
      </c>
      <c r="K175" s="6" t="s">
        <v>84</v>
      </c>
      <c r="L175" s="6">
        <v>2</v>
      </c>
      <c r="M175" s="6">
        <v>1372.59</v>
      </c>
      <c r="N175" s="6">
        <v>5</v>
      </c>
    </row>
    <row r="176" spans="1:14" x14ac:dyDescent="0.25">
      <c r="A176" s="6">
        <v>10191</v>
      </c>
      <c r="B176" s="6">
        <v>1553</v>
      </c>
      <c r="C176" s="11">
        <v>45033</v>
      </c>
      <c r="D176" s="11">
        <v>45039</v>
      </c>
      <c r="E176" s="6" t="s">
        <v>103</v>
      </c>
      <c r="F176" s="6" t="s">
        <v>92</v>
      </c>
      <c r="G176" s="6" t="s">
        <v>93</v>
      </c>
      <c r="H176" s="6" t="s">
        <v>98</v>
      </c>
      <c r="I176" s="6" t="s">
        <v>115</v>
      </c>
      <c r="J176" s="6" t="s">
        <v>119</v>
      </c>
      <c r="K176" s="6" t="s">
        <v>84</v>
      </c>
      <c r="L176" s="6">
        <v>7</v>
      </c>
      <c r="M176" s="6">
        <v>1148.6500000000001</v>
      </c>
      <c r="N176" s="6">
        <v>15</v>
      </c>
    </row>
    <row r="177" spans="1:14" x14ac:dyDescent="0.25">
      <c r="A177" s="6">
        <v>10192</v>
      </c>
      <c r="B177" s="6">
        <v>1891</v>
      </c>
      <c r="C177" s="11">
        <v>45039</v>
      </c>
      <c r="D177" s="11">
        <v>45042</v>
      </c>
      <c r="E177" s="6" t="s">
        <v>78</v>
      </c>
      <c r="F177" s="6" t="s">
        <v>92</v>
      </c>
      <c r="G177" s="6" t="s">
        <v>93</v>
      </c>
      <c r="H177" s="6" t="s">
        <v>98</v>
      </c>
      <c r="I177" s="6" t="s">
        <v>115</v>
      </c>
      <c r="J177" s="6" t="s">
        <v>123</v>
      </c>
      <c r="K177" s="6" t="s">
        <v>84</v>
      </c>
      <c r="L177" s="6">
        <v>2</v>
      </c>
      <c r="M177" s="6">
        <v>487.23</v>
      </c>
      <c r="N177" s="6">
        <v>15</v>
      </c>
    </row>
    <row r="178" spans="1:14" x14ac:dyDescent="0.25">
      <c r="A178" s="6">
        <v>10193</v>
      </c>
      <c r="B178" s="6">
        <v>1460</v>
      </c>
      <c r="C178" s="11">
        <v>45276</v>
      </c>
      <c r="D178" s="11">
        <v>45284</v>
      </c>
      <c r="E178" s="6" t="s">
        <v>109</v>
      </c>
      <c r="F178" s="6" t="s">
        <v>101</v>
      </c>
      <c r="G178" s="6" t="s">
        <v>93</v>
      </c>
      <c r="H178" s="6" t="s">
        <v>88</v>
      </c>
      <c r="I178" s="6" t="s">
        <v>112</v>
      </c>
      <c r="J178" s="6" t="s">
        <v>114</v>
      </c>
      <c r="K178" s="6" t="s">
        <v>96</v>
      </c>
      <c r="L178" s="6">
        <v>4</v>
      </c>
      <c r="M178" s="6">
        <v>496.18</v>
      </c>
      <c r="N178" s="6">
        <v>15</v>
      </c>
    </row>
    <row r="179" spans="1:14" x14ac:dyDescent="0.25">
      <c r="A179" s="6">
        <v>10194</v>
      </c>
      <c r="B179" s="6">
        <v>1690</v>
      </c>
      <c r="C179" s="11">
        <v>45180</v>
      </c>
      <c r="D179" s="11">
        <v>45182</v>
      </c>
      <c r="E179" s="6" t="s">
        <v>97</v>
      </c>
      <c r="F179" s="6" t="s">
        <v>104</v>
      </c>
      <c r="G179" s="6" t="s">
        <v>87</v>
      </c>
      <c r="H179" s="6" t="s">
        <v>88</v>
      </c>
      <c r="I179" s="6" t="s">
        <v>120</v>
      </c>
      <c r="J179" s="6" t="s">
        <v>122</v>
      </c>
      <c r="K179" s="6" t="s">
        <v>108</v>
      </c>
      <c r="L179" s="6">
        <v>2</v>
      </c>
      <c r="M179" s="6">
        <v>894.01</v>
      </c>
      <c r="N179" s="6">
        <v>15</v>
      </c>
    </row>
    <row r="180" spans="1:14" x14ac:dyDescent="0.25">
      <c r="A180" s="6">
        <v>10195</v>
      </c>
      <c r="B180" s="6">
        <v>1574</v>
      </c>
      <c r="C180" s="11">
        <v>45044</v>
      </c>
      <c r="D180" s="11">
        <v>45045</v>
      </c>
      <c r="E180" s="6" t="s">
        <v>97</v>
      </c>
      <c r="F180" s="6" t="s">
        <v>86</v>
      </c>
      <c r="G180" s="6" t="s">
        <v>80</v>
      </c>
      <c r="H180" s="6" t="s">
        <v>98</v>
      </c>
      <c r="I180" s="6" t="s">
        <v>94</v>
      </c>
      <c r="J180" s="6" t="s">
        <v>128</v>
      </c>
      <c r="K180" s="6" t="s">
        <v>110</v>
      </c>
      <c r="L180" s="6">
        <v>6</v>
      </c>
      <c r="M180" s="6">
        <v>344.65</v>
      </c>
      <c r="N180" s="6">
        <v>10</v>
      </c>
    </row>
    <row r="181" spans="1:14" x14ac:dyDescent="0.25">
      <c r="A181" s="6">
        <v>10196</v>
      </c>
      <c r="B181" s="6">
        <v>1863</v>
      </c>
      <c r="C181" s="11">
        <v>45124</v>
      </c>
      <c r="D181" s="11">
        <v>45133</v>
      </c>
      <c r="E181" s="6" t="s">
        <v>100</v>
      </c>
      <c r="F181" s="6" t="s">
        <v>92</v>
      </c>
      <c r="G181" s="6" t="s">
        <v>93</v>
      </c>
      <c r="H181" s="6" t="s">
        <v>107</v>
      </c>
      <c r="I181" s="6" t="s">
        <v>115</v>
      </c>
      <c r="J181" s="6" t="s">
        <v>116</v>
      </c>
      <c r="K181" s="6" t="s">
        <v>84</v>
      </c>
      <c r="L181" s="6">
        <v>8</v>
      </c>
      <c r="M181" s="6">
        <v>2561.86</v>
      </c>
      <c r="N181" s="6">
        <v>0</v>
      </c>
    </row>
    <row r="182" spans="1:14" x14ac:dyDescent="0.25">
      <c r="A182" s="6">
        <v>10197</v>
      </c>
      <c r="B182" s="6">
        <v>1742</v>
      </c>
      <c r="C182" s="11">
        <v>45263</v>
      </c>
      <c r="D182" s="11">
        <v>45266</v>
      </c>
      <c r="E182" s="6" t="s">
        <v>79</v>
      </c>
      <c r="F182" s="6" t="s">
        <v>101</v>
      </c>
      <c r="G182" s="6" t="s">
        <v>80</v>
      </c>
      <c r="H182" s="6" t="s">
        <v>98</v>
      </c>
      <c r="I182" s="6" t="s">
        <v>112</v>
      </c>
      <c r="J182" s="6" t="s">
        <v>130</v>
      </c>
      <c r="K182" s="6" t="s">
        <v>108</v>
      </c>
      <c r="L182" s="6">
        <v>4</v>
      </c>
      <c r="M182" s="6">
        <v>1256.21</v>
      </c>
      <c r="N182" s="6">
        <v>10</v>
      </c>
    </row>
    <row r="183" spans="1:14" x14ac:dyDescent="0.25">
      <c r="A183" s="6">
        <v>10198</v>
      </c>
      <c r="B183" s="6">
        <v>1240</v>
      </c>
      <c r="C183" s="11">
        <v>45291</v>
      </c>
      <c r="D183" s="11">
        <v>45292</v>
      </c>
      <c r="E183" s="6" t="s">
        <v>97</v>
      </c>
      <c r="F183" s="6" t="s">
        <v>104</v>
      </c>
      <c r="G183" s="6" t="s">
        <v>80</v>
      </c>
      <c r="H183" s="6" t="s">
        <v>105</v>
      </c>
      <c r="I183" s="6" t="s">
        <v>82</v>
      </c>
      <c r="J183" s="6" t="s">
        <v>132</v>
      </c>
      <c r="K183" s="6" t="s">
        <v>108</v>
      </c>
      <c r="L183" s="6">
        <v>5</v>
      </c>
      <c r="M183" s="6">
        <v>1227.02</v>
      </c>
      <c r="N183" s="6">
        <v>15</v>
      </c>
    </row>
    <row r="184" spans="1:14" x14ac:dyDescent="0.25">
      <c r="A184" s="6">
        <v>10199</v>
      </c>
      <c r="B184" s="6">
        <v>1563</v>
      </c>
      <c r="C184" s="11">
        <v>44977</v>
      </c>
      <c r="D184" s="11">
        <v>44984</v>
      </c>
      <c r="E184" s="6" t="s">
        <v>97</v>
      </c>
      <c r="F184" s="6" t="s">
        <v>86</v>
      </c>
      <c r="G184" s="6" t="s">
        <v>87</v>
      </c>
      <c r="H184" s="6" t="s">
        <v>98</v>
      </c>
      <c r="I184" s="6" t="s">
        <v>112</v>
      </c>
      <c r="J184" s="6" t="s">
        <v>114</v>
      </c>
      <c r="K184" s="6" t="s">
        <v>110</v>
      </c>
      <c r="L184" s="6">
        <v>4</v>
      </c>
      <c r="M184" s="6">
        <v>1428.19</v>
      </c>
      <c r="N184" s="6">
        <v>10</v>
      </c>
    </row>
    <row r="185" spans="1:14" x14ac:dyDescent="0.25">
      <c r="A185" s="6">
        <v>10200</v>
      </c>
      <c r="B185" s="6">
        <v>1095</v>
      </c>
      <c r="C185" s="11">
        <v>45171</v>
      </c>
      <c r="D185" s="11">
        <v>45176</v>
      </c>
      <c r="E185" s="6" t="s">
        <v>78</v>
      </c>
      <c r="F185" s="6" t="s">
        <v>92</v>
      </c>
      <c r="G185" s="6" t="s">
        <v>93</v>
      </c>
      <c r="H185" s="6" t="s">
        <v>107</v>
      </c>
      <c r="I185" s="6" t="s">
        <v>82</v>
      </c>
      <c r="J185" s="6" t="s">
        <v>132</v>
      </c>
      <c r="K185" s="6" t="s">
        <v>96</v>
      </c>
      <c r="L185" s="6">
        <v>3</v>
      </c>
      <c r="M185" s="6">
        <v>2701.77</v>
      </c>
      <c r="N185" s="6">
        <v>15</v>
      </c>
    </row>
    <row r="186" spans="1:14" x14ac:dyDescent="0.25">
      <c r="A186" s="6">
        <v>10201</v>
      </c>
      <c r="B186" s="6">
        <v>1899</v>
      </c>
      <c r="C186" s="11">
        <v>44961</v>
      </c>
      <c r="D186" s="11">
        <v>44966</v>
      </c>
      <c r="E186" s="6" t="s">
        <v>78</v>
      </c>
      <c r="F186" s="6" t="s">
        <v>92</v>
      </c>
      <c r="G186" s="6" t="s">
        <v>93</v>
      </c>
      <c r="H186" s="6" t="s">
        <v>105</v>
      </c>
      <c r="I186" s="6" t="s">
        <v>120</v>
      </c>
      <c r="J186" s="6" t="s">
        <v>122</v>
      </c>
      <c r="K186" s="6" t="s">
        <v>91</v>
      </c>
      <c r="L186" s="6">
        <v>5</v>
      </c>
      <c r="M186" s="6">
        <v>3501.94</v>
      </c>
      <c r="N186" s="6">
        <v>20</v>
      </c>
    </row>
    <row r="187" spans="1:14" x14ac:dyDescent="0.25">
      <c r="A187" s="6">
        <v>10202</v>
      </c>
      <c r="B187" s="6">
        <v>1733</v>
      </c>
      <c r="C187" s="11">
        <v>45228</v>
      </c>
      <c r="D187" s="11">
        <v>45229</v>
      </c>
      <c r="E187" s="6" t="s">
        <v>103</v>
      </c>
      <c r="F187" s="6" t="s">
        <v>117</v>
      </c>
      <c r="G187" s="6" t="s">
        <v>80</v>
      </c>
      <c r="H187" s="6" t="s">
        <v>81</v>
      </c>
      <c r="I187" s="6" t="s">
        <v>94</v>
      </c>
      <c r="J187" s="6" t="s">
        <v>128</v>
      </c>
      <c r="K187" s="6" t="s">
        <v>91</v>
      </c>
      <c r="L187" s="6">
        <v>9</v>
      </c>
      <c r="M187" s="6">
        <v>3072.48</v>
      </c>
      <c r="N187" s="6">
        <v>0</v>
      </c>
    </row>
    <row r="188" spans="1:14" x14ac:dyDescent="0.25">
      <c r="A188" s="6">
        <v>10207</v>
      </c>
      <c r="B188" s="6">
        <v>1654</v>
      </c>
      <c r="C188" s="11">
        <v>45000</v>
      </c>
      <c r="D188" s="11">
        <v>45006</v>
      </c>
      <c r="E188" s="6" t="s">
        <v>100</v>
      </c>
      <c r="F188" s="6" t="s">
        <v>104</v>
      </c>
      <c r="G188" s="6" t="s">
        <v>87</v>
      </c>
      <c r="H188" s="6" t="s">
        <v>107</v>
      </c>
      <c r="I188" s="6" t="s">
        <v>112</v>
      </c>
      <c r="J188" s="6" t="s">
        <v>114</v>
      </c>
      <c r="K188" s="6" t="s">
        <v>96</v>
      </c>
      <c r="L188" s="6">
        <v>7</v>
      </c>
      <c r="M188" s="6">
        <v>982.56</v>
      </c>
      <c r="N188" s="6">
        <v>10</v>
      </c>
    </row>
    <row r="189" spans="1:14" x14ac:dyDescent="0.25">
      <c r="A189" s="6">
        <v>10208</v>
      </c>
      <c r="B189" s="6">
        <v>1170</v>
      </c>
      <c r="C189" s="11">
        <v>45118</v>
      </c>
      <c r="D189" s="11">
        <v>45123</v>
      </c>
      <c r="E189" s="6" t="s">
        <v>109</v>
      </c>
      <c r="F189" s="6" t="s">
        <v>104</v>
      </c>
      <c r="G189" s="6" t="s">
        <v>87</v>
      </c>
      <c r="H189" s="6" t="s">
        <v>105</v>
      </c>
      <c r="I189" s="6" t="s">
        <v>115</v>
      </c>
      <c r="J189" s="6" t="s">
        <v>116</v>
      </c>
      <c r="K189" s="6" t="s">
        <v>91</v>
      </c>
      <c r="L189" s="6">
        <v>8</v>
      </c>
      <c r="M189" s="6">
        <v>953.07</v>
      </c>
      <c r="N189" s="6">
        <v>20</v>
      </c>
    </row>
    <row r="190" spans="1:14" x14ac:dyDescent="0.25">
      <c r="A190" s="6">
        <v>10209</v>
      </c>
      <c r="B190" s="6">
        <v>1540</v>
      </c>
      <c r="C190" s="11">
        <v>45187</v>
      </c>
      <c r="D190" s="11">
        <v>45193</v>
      </c>
      <c r="E190" s="6" t="s">
        <v>103</v>
      </c>
      <c r="F190" s="6" t="s">
        <v>79</v>
      </c>
      <c r="G190" s="6" t="s">
        <v>80</v>
      </c>
      <c r="H190" s="6" t="s">
        <v>105</v>
      </c>
      <c r="I190" s="6" t="s">
        <v>112</v>
      </c>
      <c r="J190" s="6" t="s">
        <v>113</v>
      </c>
      <c r="K190" s="6" t="s">
        <v>108</v>
      </c>
      <c r="L190" s="6">
        <v>8</v>
      </c>
      <c r="M190" s="6">
        <v>1291.1099999999999</v>
      </c>
      <c r="N190" s="6">
        <v>15</v>
      </c>
    </row>
    <row r="191" spans="1:14" x14ac:dyDescent="0.25">
      <c r="A191" s="6">
        <v>10210</v>
      </c>
      <c r="B191" s="6">
        <v>1035</v>
      </c>
      <c r="C191" s="11">
        <v>45282</v>
      </c>
      <c r="D191" s="11">
        <v>45284</v>
      </c>
      <c r="E191" s="6" t="s">
        <v>78</v>
      </c>
      <c r="F191" s="6" t="s">
        <v>117</v>
      </c>
      <c r="G191" s="6" t="s">
        <v>93</v>
      </c>
      <c r="H191" s="6" t="s">
        <v>81</v>
      </c>
      <c r="I191" s="6" t="s">
        <v>82</v>
      </c>
      <c r="J191" s="6" t="s">
        <v>83</v>
      </c>
      <c r="K191" s="6" t="s">
        <v>108</v>
      </c>
      <c r="L191" s="6">
        <v>8</v>
      </c>
      <c r="M191" s="6">
        <v>3656.59</v>
      </c>
      <c r="N191" s="6">
        <v>15</v>
      </c>
    </row>
    <row r="192" spans="1:14" x14ac:dyDescent="0.25">
      <c r="A192" s="6">
        <v>10211</v>
      </c>
      <c r="B192" s="6">
        <v>1524</v>
      </c>
      <c r="C192" s="11">
        <v>44996</v>
      </c>
      <c r="D192" s="11">
        <v>45000</v>
      </c>
      <c r="E192" s="6" t="s">
        <v>85</v>
      </c>
      <c r="F192" s="6" t="s">
        <v>86</v>
      </c>
      <c r="G192" s="6" t="s">
        <v>87</v>
      </c>
      <c r="H192" s="6" t="s">
        <v>105</v>
      </c>
      <c r="I192" s="6" t="s">
        <v>112</v>
      </c>
      <c r="J192" s="6" t="s">
        <v>114</v>
      </c>
      <c r="K192" s="6" t="s">
        <v>84</v>
      </c>
      <c r="L192" s="6">
        <v>7</v>
      </c>
      <c r="M192" s="6">
        <v>2257.5500000000002</v>
      </c>
      <c r="N192" s="6">
        <v>10</v>
      </c>
    </row>
    <row r="193" spans="1:14" x14ac:dyDescent="0.25">
      <c r="A193" s="6">
        <v>10212</v>
      </c>
      <c r="B193" s="6">
        <v>1159</v>
      </c>
      <c r="C193" s="11">
        <v>45016</v>
      </c>
      <c r="D193" s="11">
        <v>45019</v>
      </c>
      <c r="E193" s="6" t="s">
        <v>79</v>
      </c>
      <c r="F193" s="6" t="s">
        <v>92</v>
      </c>
      <c r="G193" s="6" t="s">
        <v>93</v>
      </c>
      <c r="H193" s="6" t="s">
        <v>107</v>
      </c>
      <c r="I193" s="6" t="s">
        <v>89</v>
      </c>
      <c r="J193" s="6" t="s">
        <v>124</v>
      </c>
      <c r="K193" s="6" t="s">
        <v>96</v>
      </c>
      <c r="L193" s="6">
        <v>1</v>
      </c>
      <c r="M193" s="6">
        <v>2975.54</v>
      </c>
      <c r="N193" s="6">
        <v>15</v>
      </c>
    </row>
    <row r="194" spans="1:14" x14ac:dyDescent="0.25">
      <c r="A194" s="6">
        <v>10214</v>
      </c>
      <c r="B194" s="6">
        <v>1698</v>
      </c>
      <c r="C194" s="11">
        <v>45052</v>
      </c>
      <c r="D194" s="11">
        <v>45061</v>
      </c>
      <c r="E194" s="6" t="s">
        <v>100</v>
      </c>
      <c r="F194" s="6" t="s">
        <v>92</v>
      </c>
      <c r="G194" s="6" t="s">
        <v>87</v>
      </c>
      <c r="H194" s="6" t="s">
        <v>107</v>
      </c>
      <c r="I194" s="6" t="s">
        <v>112</v>
      </c>
      <c r="J194" s="6" t="s">
        <v>126</v>
      </c>
      <c r="K194" s="6" t="s">
        <v>110</v>
      </c>
      <c r="L194" s="6">
        <v>4</v>
      </c>
      <c r="M194" s="6">
        <v>1719.71</v>
      </c>
      <c r="N194" s="6">
        <v>15</v>
      </c>
    </row>
    <row r="195" spans="1:14" x14ac:dyDescent="0.25">
      <c r="A195" s="6">
        <v>10215</v>
      </c>
      <c r="B195" s="6">
        <v>1242</v>
      </c>
      <c r="C195" s="11">
        <v>45157</v>
      </c>
      <c r="D195" s="11">
        <v>45162</v>
      </c>
      <c r="E195" s="6" t="s">
        <v>78</v>
      </c>
      <c r="F195" s="6" t="s">
        <v>79</v>
      </c>
      <c r="G195" s="6" t="s">
        <v>80</v>
      </c>
      <c r="H195" s="6" t="s">
        <v>88</v>
      </c>
      <c r="I195" s="6" t="s">
        <v>89</v>
      </c>
      <c r="J195" s="6" t="s">
        <v>90</v>
      </c>
      <c r="K195" s="6" t="s">
        <v>84</v>
      </c>
      <c r="L195" s="6">
        <v>5</v>
      </c>
      <c r="M195" s="6">
        <v>633.42999999999995</v>
      </c>
      <c r="N195" s="6">
        <v>20</v>
      </c>
    </row>
    <row r="196" spans="1:14" x14ac:dyDescent="0.25">
      <c r="A196" s="6">
        <v>10216</v>
      </c>
      <c r="B196" s="6">
        <v>1085</v>
      </c>
      <c r="C196" s="11">
        <v>45221</v>
      </c>
      <c r="D196" s="11">
        <v>45227</v>
      </c>
      <c r="E196" s="6" t="s">
        <v>100</v>
      </c>
      <c r="F196" s="6" t="s">
        <v>86</v>
      </c>
      <c r="G196" s="6" t="s">
        <v>87</v>
      </c>
      <c r="H196" s="6" t="s">
        <v>81</v>
      </c>
      <c r="I196" s="6" t="s">
        <v>120</v>
      </c>
      <c r="J196" s="6" t="s">
        <v>129</v>
      </c>
      <c r="K196" s="6" t="s">
        <v>84</v>
      </c>
      <c r="L196" s="6">
        <v>6</v>
      </c>
      <c r="M196" s="6">
        <v>809.49</v>
      </c>
      <c r="N196" s="6">
        <v>5</v>
      </c>
    </row>
    <row r="197" spans="1:14" x14ac:dyDescent="0.25">
      <c r="A197" s="6">
        <v>10217</v>
      </c>
      <c r="B197" s="6">
        <v>1795</v>
      </c>
      <c r="C197" s="11">
        <v>45055</v>
      </c>
      <c r="D197" s="11">
        <v>45057</v>
      </c>
      <c r="E197" s="6" t="s">
        <v>100</v>
      </c>
      <c r="F197" s="6" t="s">
        <v>104</v>
      </c>
      <c r="G197" s="6" t="s">
        <v>87</v>
      </c>
      <c r="H197" s="6" t="s">
        <v>105</v>
      </c>
      <c r="I197" s="6" t="s">
        <v>112</v>
      </c>
      <c r="J197" s="6" t="s">
        <v>113</v>
      </c>
      <c r="K197" s="6" t="s">
        <v>91</v>
      </c>
      <c r="L197" s="6">
        <v>4</v>
      </c>
      <c r="M197" s="6">
        <v>3335.32</v>
      </c>
      <c r="N197" s="6">
        <v>20</v>
      </c>
    </row>
    <row r="198" spans="1:14" x14ac:dyDescent="0.25">
      <c r="A198" s="6">
        <v>10218</v>
      </c>
      <c r="B198" s="6">
        <v>1577</v>
      </c>
      <c r="C198" s="11">
        <v>45206</v>
      </c>
      <c r="D198" s="11">
        <v>45209</v>
      </c>
      <c r="E198" s="6" t="s">
        <v>100</v>
      </c>
      <c r="F198" s="6" t="s">
        <v>92</v>
      </c>
      <c r="G198" s="6" t="s">
        <v>80</v>
      </c>
      <c r="H198" s="6" t="s">
        <v>107</v>
      </c>
      <c r="I198" s="6" t="s">
        <v>89</v>
      </c>
      <c r="J198" s="6" t="s">
        <v>131</v>
      </c>
      <c r="K198" s="6" t="s">
        <v>108</v>
      </c>
      <c r="L198" s="6">
        <v>2</v>
      </c>
      <c r="M198" s="6">
        <v>2401.63</v>
      </c>
      <c r="N198" s="6">
        <v>0</v>
      </c>
    </row>
    <row r="199" spans="1:14" x14ac:dyDescent="0.25">
      <c r="A199" s="6">
        <v>10220</v>
      </c>
      <c r="B199" s="6">
        <v>1556</v>
      </c>
      <c r="C199" s="11">
        <v>45026</v>
      </c>
      <c r="D199" s="11">
        <v>45035</v>
      </c>
      <c r="E199" s="6" t="s">
        <v>100</v>
      </c>
      <c r="F199" s="6" t="s">
        <v>79</v>
      </c>
      <c r="G199" s="6" t="s">
        <v>87</v>
      </c>
      <c r="H199" s="6" t="s">
        <v>81</v>
      </c>
      <c r="I199" s="6" t="s">
        <v>82</v>
      </c>
      <c r="J199" s="6" t="s">
        <v>118</v>
      </c>
      <c r="K199" s="6" t="s">
        <v>84</v>
      </c>
      <c r="L199" s="6">
        <v>8</v>
      </c>
      <c r="M199" s="6">
        <v>3240.98</v>
      </c>
      <c r="N199" s="6">
        <v>0</v>
      </c>
    </row>
    <row r="200" spans="1:14" x14ac:dyDescent="0.25">
      <c r="A200" s="6">
        <v>10222</v>
      </c>
      <c r="B200" s="6">
        <v>1952</v>
      </c>
      <c r="C200" s="11">
        <v>45223</v>
      </c>
      <c r="D200" s="11">
        <v>45231</v>
      </c>
      <c r="E200" s="6" t="s">
        <v>79</v>
      </c>
      <c r="F200" s="6" t="s">
        <v>79</v>
      </c>
      <c r="G200" s="6" t="s">
        <v>87</v>
      </c>
      <c r="H200" s="6" t="s">
        <v>107</v>
      </c>
      <c r="I200" s="6" t="s">
        <v>112</v>
      </c>
      <c r="J200" s="6" t="s">
        <v>114</v>
      </c>
      <c r="K200" s="6" t="s">
        <v>84</v>
      </c>
      <c r="L200" s="6">
        <v>7</v>
      </c>
      <c r="M200" s="6">
        <v>3907.73</v>
      </c>
      <c r="N200" s="6">
        <v>10</v>
      </c>
    </row>
    <row r="201" spans="1:14" x14ac:dyDescent="0.25">
      <c r="A201" s="6">
        <v>10223</v>
      </c>
      <c r="B201" s="6">
        <v>1645</v>
      </c>
      <c r="C201" s="11">
        <v>45108</v>
      </c>
      <c r="D201" s="11">
        <v>45117</v>
      </c>
      <c r="E201" s="6" t="s">
        <v>109</v>
      </c>
      <c r="F201" s="6" t="s">
        <v>117</v>
      </c>
      <c r="G201" s="6" t="s">
        <v>80</v>
      </c>
      <c r="H201" s="6" t="s">
        <v>88</v>
      </c>
      <c r="I201" s="6" t="s">
        <v>120</v>
      </c>
      <c r="J201" s="6" t="s">
        <v>122</v>
      </c>
      <c r="K201" s="6" t="s">
        <v>110</v>
      </c>
      <c r="L201" s="6">
        <v>6</v>
      </c>
      <c r="M201" s="6">
        <v>1477.55</v>
      </c>
      <c r="N201" s="6">
        <v>10</v>
      </c>
    </row>
    <row r="202" spans="1:14" x14ac:dyDescent="0.25">
      <c r="A202" s="6">
        <v>10226</v>
      </c>
      <c r="B202" s="6">
        <v>1619</v>
      </c>
      <c r="C202" s="11">
        <v>45290</v>
      </c>
      <c r="D202" s="11">
        <v>45291</v>
      </c>
      <c r="E202" s="6" t="s">
        <v>100</v>
      </c>
      <c r="F202" s="6" t="s">
        <v>101</v>
      </c>
      <c r="G202" s="6" t="s">
        <v>80</v>
      </c>
      <c r="H202" s="6" t="s">
        <v>105</v>
      </c>
      <c r="I202" s="6" t="s">
        <v>112</v>
      </c>
      <c r="J202" s="6" t="s">
        <v>126</v>
      </c>
      <c r="K202" s="6" t="s">
        <v>108</v>
      </c>
      <c r="L202" s="6">
        <v>5</v>
      </c>
      <c r="M202" s="6">
        <v>620.13</v>
      </c>
      <c r="N202" s="6">
        <v>5</v>
      </c>
    </row>
    <row r="203" spans="1:14" x14ac:dyDescent="0.25">
      <c r="A203" s="6">
        <v>10229</v>
      </c>
      <c r="B203" s="6">
        <v>1797</v>
      </c>
      <c r="C203" s="11">
        <v>44957</v>
      </c>
      <c r="D203" s="11">
        <v>44959</v>
      </c>
      <c r="E203" s="6" t="s">
        <v>79</v>
      </c>
      <c r="F203" s="6" t="s">
        <v>117</v>
      </c>
      <c r="G203" s="6" t="s">
        <v>93</v>
      </c>
      <c r="H203" s="6" t="s">
        <v>107</v>
      </c>
      <c r="I203" s="6" t="s">
        <v>112</v>
      </c>
      <c r="J203" s="6" t="s">
        <v>130</v>
      </c>
      <c r="K203" s="6" t="s">
        <v>96</v>
      </c>
      <c r="L203" s="6">
        <v>8</v>
      </c>
      <c r="M203" s="6">
        <v>3519.2</v>
      </c>
      <c r="N203" s="6">
        <v>0</v>
      </c>
    </row>
    <row r="204" spans="1:14" x14ac:dyDescent="0.25">
      <c r="A204" s="6">
        <v>10232</v>
      </c>
      <c r="B204" s="6">
        <v>1639</v>
      </c>
      <c r="C204" s="11">
        <v>44962</v>
      </c>
      <c r="D204" s="11">
        <v>44969</v>
      </c>
      <c r="E204" s="6" t="s">
        <v>85</v>
      </c>
      <c r="F204" s="6" t="s">
        <v>92</v>
      </c>
      <c r="G204" s="6" t="s">
        <v>80</v>
      </c>
      <c r="H204" s="6" t="s">
        <v>81</v>
      </c>
      <c r="I204" s="6" t="s">
        <v>120</v>
      </c>
      <c r="J204" s="6" t="s">
        <v>122</v>
      </c>
      <c r="K204" s="6" t="s">
        <v>84</v>
      </c>
      <c r="L204" s="6">
        <v>1</v>
      </c>
      <c r="M204" s="6">
        <v>2250.4899999999998</v>
      </c>
      <c r="N204" s="6">
        <v>15</v>
      </c>
    </row>
    <row r="205" spans="1:14" x14ac:dyDescent="0.25">
      <c r="A205" s="6">
        <v>10233</v>
      </c>
      <c r="B205" s="6">
        <v>1505</v>
      </c>
      <c r="C205" s="11">
        <v>45139</v>
      </c>
      <c r="D205" s="11">
        <v>45143</v>
      </c>
      <c r="E205" s="6" t="s">
        <v>79</v>
      </c>
      <c r="F205" s="6" t="s">
        <v>104</v>
      </c>
      <c r="G205" s="6" t="s">
        <v>80</v>
      </c>
      <c r="H205" s="6" t="s">
        <v>107</v>
      </c>
      <c r="I205" s="6" t="s">
        <v>82</v>
      </c>
      <c r="J205" s="6" t="s">
        <v>118</v>
      </c>
      <c r="K205" s="6" t="s">
        <v>110</v>
      </c>
      <c r="L205" s="6">
        <v>1</v>
      </c>
      <c r="M205" s="6">
        <v>556.53</v>
      </c>
      <c r="N205" s="6">
        <v>5</v>
      </c>
    </row>
    <row r="206" spans="1:14" x14ac:dyDescent="0.25">
      <c r="A206" s="6">
        <v>10234</v>
      </c>
      <c r="B206" s="6">
        <v>1347</v>
      </c>
      <c r="C206" s="11">
        <v>45290</v>
      </c>
      <c r="D206" s="11">
        <v>45295</v>
      </c>
      <c r="E206" s="6" t="s">
        <v>100</v>
      </c>
      <c r="F206" s="6" t="s">
        <v>79</v>
      </c>
      <c r="G206" s="6" t="s">
        <v>93</v>
      </c>
      <c r="H206" s="6" t="s">
        <v>107</v>
      </c>
      <c r="I206" s="6" t="s">
        <v>94</v>
      </c>
      <c r="J206" s="6" t="s">
        <v>111</v>
      </c>
      <c r="K206" s="6" t="s">
        <v>96</v>
      </c>
      <c r="L206" s="6">
        <v>7</v>
      </c>
      <c r="M206" s="6">
        <v>324.38</v>
      </c>
      <c r="N206" s="6">
        <v>10</v>
      </c>
    </row>
    <row r="207" spans="1:14" x14ac:dyDescent="0.25">
      <c r="A207" s="6">
        <v>10235</v>
      </c>
      <c r="B207" s="6">
        <v>1472</v>
      </c>
      <c r="C207" s="11">
        <v>45032</v>
      </c>
      <c r="D207" s="11">
        <v>45040</v>
      </c>
      <c r="E207" s="6" t="s">
        <v>103</v>
      </c>
      <c r="F207" s="6" t="s">
        <v>92</v>
      </c>
      <c r="G207" s="6" t="s">
        <v>80</v>
      </c>
      <c r="H207" s="6" t="s">
        <v>98</v>
      </c>
      <c r="I207" s="6" t="s">
        <v>115</v>
      </c>
      <c r="J207" s="6" t="s">
        <v>123</v>
      </c>
      <c r="K207" s="6" t="s">
        <v>110</v>
      </c>
      <c r="L207" s="6">
        <v>9</v>
      </c>
      <c r="M207" s="6">
        <v>2677.09</v>
      </c>
      <c r="N207" s="6">
        <v>10</v>
      </c>
    </row>
    <row r="208" spans="1:14" x14ac:dyDescent="0.25">
      <c r="A208" s="6">
        <v>10238</v>
      </c>
      <c r="B208" s="6">
        <v>1224</v>
      </c>
      <c r="C208" s="11">
        <v>45089</v>
      </c>
      <c r="D208" s="11">
        <v>45093</v>
      </c>
      <c r="E208" s="6" t="s">
        <v>97</v>
      </c>
      <c r="F208" s="6" t="s">
        <v>101</v>
      </c>
      <c r="G208" s="6" t="s">
        <v>87</v>
      </c>
      <c r="H208" s="6" t="s">
        <v>98</v>
      </c>
      <c r="I208" s="6" t="s">
        <v>120</v>
      </c>
      <c r="J208" s="6" t="s">
        <v>125</v>
      </c>
      <c r="K208" s="6" t="s">
        <v>108</v>
      </c>
      <c r="L208" s="6">
        <v>8</v>
      </c>
      <c r="M208" s="6">
        <v>284.52</v>
      </c>
      <c r="N208" s="6">
        <v>15</v>
      </c>
    </row>
    <row r="209" spans="1:14" x14ac:dyDescent="0.25">
      <c r="A209" s="6">
        <v>10239</v>
      </c>
      <c r="B209" s="6">
        <v>1384</v>
      </c>
      <c r="C209" s="11">
        <v>45146</v>
      </c>
      <c r="D209" s="11">
        <v>45149</v>
      </c>
      <c r="E209" s="6" t="s">
        <v>97</v>
      </c>
      <c r="F209" s="6" t="s">
        <v>104</v>
      </c>
      <c r="G209" s="6" t="s">
        <v>87</v>
      </c>
      <c r="H209" s="6" t="s">
        <v>88</v>
      </c>
      <c r="I209" s="6" t="s">
        <v>112</v>
      </c>
      <c r="J209" s="6" t="s">
        <v>126</v>
      </c>
      <c r="K209" s="6" t="s">
        <v>110</v>
      </c>
      <c r="L209" s="6">
        <v>2</v>
      </c>
      <c r="M209" s="6">
        <v>3960.56</v>
      </c>
      <c r="N209" s="6">
        <v>10</v>
      </c>
    </row>
    <row r="210" spans="1:14" x14ac:dyDescent="0.25">
      <c r="A210" s="6">
        <v>10240</v>
      </c>
      <c r="B210" s="6">
        <v>1376</v>
      </c>
      <c r="C210" s="11">
        <v>45196</v>
      </c>
      <c r="D210" s="11">
        <v>45198</v>
      </c>
      <c r="E210" s="6" t="s">
        <v>79</v>
      </c>
      <c r="F210" s="6" t="s">
        <v>101</v>
      </c>
      <c r="G210" s="6" t="s">
        <v>80</v>
      </c>
      <c r="H210" s="6" t="s">
        <v>105</v>
      </c>
      <c r="I210" s="6" t="s">
        <v>120</v>
      </c>
      <c r="J210" s="6" t="s">
        <v>129</v>
      </c>
      <c r="K210" s="6" t="s">
        <v>108</v>
      </c>
      <c r="L210" s="6">
        <v>9</v>
      </c>
      <c r="M210" s="6">
        <v>265.58</v>
      </c>
      <c r="N210" s="6">
        <v>10</v>
      </c>
    </row>
    <row r="211" spans="1:14" x14ac:dyDescent="0.25">
      <c r="A211" s="6">
        <v>10241</v>
      </c>
      <c r="B211" s="6">
        <v>1282</v>
      </c>
      <c r="C211" s="11">
        <v>45046</v>
      </c>
      <c r="D211" s="11">
        <v>45049</v>
      </c>
      <c r="E211" s="6" t="s">
        <v>103</v>
      </c>
      <c r="F211" s="6" t="s">
        <v>104</v>
      </c>
      <c r="G211" s="6" t="s">
        <v>93</v>
      </c>
      <c r="H211" s="6" t="s">
        <v>81</v>
      </c>
      <c r="I211" s="6" t="s">
        <v>82</v>
      </c>
      <c r="J211" s="6" t="s">
        <v>132</v>
      </c>
      <c r="K211" s="6" t="s">
        <v>96</v>
      </c>
      <c r="L211" s="6">
        <v>6</v>
      </c>
      <c r="M211" s="6">
        <v>1861.43</v>
      </c>
      <c r="N211" s="6">
        <v>0</v>
      </c>
    </row>
    <row r="212" spans="1:14" x14ac:dyDescent="0.25">
      <c r="A212" s="6">
        <v>10243</v>
      </c>
      <c r="B212" s="6">
        <v>1632</v>
      </c>
      <c r="C212" s="11">
        <v>45108</v>
      </c>
      <c r="D212" s="11">
        <v>45109</v>
      </c>
      <c r="E212" s="6" t="s">
        <v>100</v>
      </c>
      <c r="F212" s="6" t="s">
        <v>86</v>
      </c>
      <c r="G212" s="6" t="s">
        <v>93</v>
      </c>
      <c r="H212" s="6" t="s">
        <v>81</v>
      </c>
      <c r="I212" s="6" t="s">
        <v>120</v>
      </c>
      <c r="J212" s="6" t="s">
        <v>122</v>
      </c>
      <c r="K212" s="6" t="s">
        <v>91</v>
      </c>
      <c r="L212" s="6">
        <v>2</v>
      </c>
      <c r="M212" s="6">
        <v>601.53</v>
      </c>
      <c r="N212" s="6">
        <v>20</v>
      </c>
    </row>
    <row r="213" spans="1:14" x14ac:dyDescent="0.25">
      <c r="A213" s="6">
        <v>10244</v>
      </c>
      <c r="B213" s="6">
        <v>1627</v>
      </c>
      <c r="C213" s="11">
        <v>45032</v>
      </c>
      <c r="D213" s="11">
        <v>45038</v>
      </c>
      <c r="E213" s="6" t="s">
        <v>97</v>
      </c>
      <c r="F213" s="6" t="s">
        <v>92</v>
      </c>
      <c r="G213" s="6" t="s">
        <v>80</v>
      </c>
      <c r="H213" s="6" t="s">
        <v>107</v>
      </c>
      <c r="I213" s="6" t="s">
        <v>115</v>
      </c>
      <c r="J213" s="6" t="s">
        <v>116</v>
      </c>
      <c r="K213" s="6" t="s">
        <v>108</v>
      </c>
      <c r="L213" s="6">
        <v>3</v>
      </c>
      <c r="M213" s="6">
        <v>800.89</v>
      </c>
      <c r="N213" s="6">
        <v>0</v>
      </c>
    </row>
    <row r="214" spans="1:14" x14ac:dyDescent="0.25">
      <c r="A214" s="6">
        <v>10245</v>
      </c>
      <c r="B214" s="6">
        <v>1972</v>
      </c>
      <c r="C214" s="11">
        <v>45143</v>
      </c>
      <c r="D214" s="11">
        <v>45148</v>
      </c>
      <c r="E214" s="6" t="s">
        <v>78</v>
      </c>
      <c r="F214" s="6" t="s">
        <v>79</v>
      </c>
      <c r="G214" s="6" t="s">
        <v>93</v>
      </c>
      <c r="H214" s="6" t="s">
        <v>105</v>
      </c>
      <c r="I214" s="6" t="s">
        <v>112</v>
      </c>
      <c r="J214" s="6" t="s">
        <v>114</v>
      </c>
      <c r="K214" s="6" t="s">
        <v>110</v>
      </c>
      <c r="L214" s="6">
        <v>8</v>
      </c>
      <c r="M214" s="6">
        <v>1504.45</v>
      </c>
      <c r="N214" s="6">
        <v>20</v>
      </c>
    </row>
    <row r="215" spans="1:14" x14ac:dyDescent="0.25">
      <c r="A215" s="6">
        <v>10246</v>
      </c>
      <c r="B215" s="6">
        <v>1744</v>
      </c>
      <c r="C215" s="11">
        <v>45131</v>
      </c>
      <c r="D215" s="11">
        <v>45139</v>
      </c>
      <c r="E215" s="6" t="s">
        <v>79</v>
      </c>
      <c r="F215" s="6" t="s">
        <v>92</v>
      </c>
      <c r="G215" s="6" t="s">
        <v>87</v>
      </c>
      <c r="H215" s="6" t="s">
        <v>88</v>
      </c>
      <c r="I215" s="6" t="s">
        <v>115</v>
      </c>
      <c r="J215" s="6" t="s">
        <v>116</v>
      </c>
      <c r="K215" s="6" t="s">
        <v>108</v>
      </c>
      <c r="L215" s="6">
        <v>1</v>
      </c>
      <c r="M215" s="6">
        <v>3082.45</v>
      </c>
      <c r="N215" s="6">
        <v>5</v>
      </c>
    </row>
    <row r="216" spans="1:14" x14ac:dyDescent="0.25">
      <c r="A216" s="6">
        <v>10247</v>
      </c>
      <c r="B216" s="6">
        <v>1258</v>
      </c>
      <c r="C216" s="11">
        <v>44996</v>
      </c>
      <c r="D216" s="11">
        <v>44998</v>
      </c>
      <c r="E216" s="6" t="s">
        <v>78</v>
      </c>
      <c r="F216" s="6" t="s">
        <v>117</v>
      </c>
      <c r="G216" s="6" t="s">
        <v>93</v>
      </c>
      <c r="H216" s="6" t="s">
        <v>98</v>
      </c>
      <c r="I216" s="6" t="s">
        <v>115</v>
      </c>
      <c r="J216" s="6" t="s">
        <v>127</v>
      </c>
      <c r="K216" s="6" t="s">
        <v>110</v>
      </c>
      <c r="L216" s="6">
        <v>7</v>
      </c>
      <c r="M216" s="6">
        <v>2102.27</v>
      </c>
      <c r="N216" s="6">
        <v>20</v>
      </c>
    </row>
    <row r="217" spans="1:14" x14ac:dyDescent="0.25">
      <c r="A217" s="6">
        <v>10248</v>
      </c>
      <c r="B217" s="6">
        <v>1358</v>
      </c>
      <c r="C217" s="11">
        <v>44970</v>
      </c>
      <c r="D217" s="11">
        <v>44974</v>
      </c>
      <c r="E217" s="6" t="s">
        <v>85</v>
      </c>
      <c r="F217" s="6" t="s">
        <v>79</v>
      </c>
      <c r="G217" s="6" t="s">
        <v>93</v>
      </c>
      <c r="H217" s="6" t="s">
        <v>105</v>
      </c>
      <c r="I217" s="6" t="s">
        <v>94</v>
      </c>
      <c r="J217" s="6" t="s">
        <v>102</v>
      </c>
      <c r="K217" s="6" t="s">
        <v>84</v>
      </c>
      <c r="L217" s="6">
        <v>7</v>
      </c>
      <c r="M217" s="6">
        <v>2605.92</v>
      </c>
      <c r="N217" s="6">
        <v>20</v>
      </c>
    </row>
    <row r="218" spans="1:14" x14ac:dyDescent="0.25">
      <c r="A218" s="6">
        <v>10249</v>
      </c>
      <c r="B218" s="6">
        <v>1709</v>
      </c>
      <c r="C218" s="11">
        <v>45255</v>
      </c>
      <c r="D218" s="11">
        <v>45263</v>
      </c>
      <c r="E218" s="6" t="s">
        <v>109</v>
      </c>
      <c r="F218" s="6" t="s">
        <v>104</v>
      </c>
      <c r="G218" s="6" t="s">
        <v>80</v>
      </c>
      <c r="H218" s="6" t="s">
        <v>81</v>
      </c>
      <c r="I218" s="6" t="s">
        <v>94</v>
      </c>
      <c r="J218" s="6" t="s">
        <v>128</v>
      </c>
      <c r="K218" s="6" t="s">
        <v>108</v>
      </c>
      <c r="L218" s="6">
        <v>1</v>
      </c>
      <c r="M218" s="6">
        <v>3942.92</v>
      </c>
      <c r="N218" s="6">
        <v>0</v>
      </c>
    </row>
    <row r="219" spans="1:14" x14ac:dyDescent="0.25">
      <c r="A219" s="6">
        <v>10251</v>
      </c>
      <c r="B219" s="6">
        <v>1410</v>
      </c>
      <c r="C219" s="11">
        <v>45154</v>
      </c>
      <c r="D219" s="11">
        <v>45155</v>
      </c>
      <c r="E219" s="6" t="s">
        <v>79</v>
      </c>
      <c r="F219" s="6" t="s">
        <v>86</v>
      </c>
      <c r="G219" s="6" t="s">
        <v>80</v>
      </c>
      <c r="H219" s="6" t="s">
        <v>88</v>
      </c>
      <c r="I219" s="6" t="s">
        <v>94</v>
      </c>
      <c r="J219" s="6" t="s">
        <v>111</v>
      </c>
      <c r="K219" s="6" t="s">
        <v>91</v>
      </c>
      <c r="L219" s="6">
        <v>8</v>
      </c>
      <c r="M219" s="6">
        <v>1822.29</v>
      </c>
      <c r="N219" s="6">
        <v>20</v>
      </c>
    </row>
    <row r="220" spans="1:14" x14ac:dyDescent="0.25">
      <c r="A220" s="6">
        <v>10252</v>
      </c>
      <c r="B220" s="6">
        <v>1648</v>
      </c>
      <c r="C220" s="11">
        <v>45110</v>
      </c>
      <c r="D220" s="11">
        <v>45114</v>
      </c>
      <c r="E220" s="6" t="s">
        <v>100</v>
      </c>
      <c r="F220" s="6" t="s">
        <v>101</v>
      </c>
      <c r="G220" s="6" t="s">
        <v>87</v>
      </c>
      <c r="H220" s="6" t="s">
        <v>105</v>
      </c>
      <c r="I220" s="6" t="s">
        <v>115</v>
      </c>
      <c r="J220" s="6" t="s">
        <v>123</v>
      </c>
      <c r="K220" s="6" t="s">
        <v>96</v>
      </c>
      <c r="L220" s="6">
        <v>4</v>
      </c>
      <c r="M220" s="6">
        <v>1868.8</v>
      </c>
      <c r="N220" s="6">
        <v>20</v>
      </c>
    </row>
    <row r="221" spans="1:14" x14ac:dyDescent="0.25">
      <c r="A221" s="6">
        <v>10253</v>
      </c>
      <c r="B221" s="6">
        <v>1317</v>
      </c>
      <c r="C221" s="11">
        <v>45033</v>
      </c>
      <c r="D221" s="11">
        <v>45034</v>
      </c>
      <c r="E221" s="6" t="s">
        <v>103</v>
      </c>
      <c r="F221" s="6" t="s">
        <v>104</v>
      </c>
      <c r="G221" s="6" t="s">
        <v>87</v>
      </c>
      <c r="H221" s="6" t="s">
        <v>98</v>
      </c>
      <c r="I221" s="6" t="s">
        <v>82</v>
      </c>
      <c r="J221" s="6" t="s">
        <v>83</v>
      </c>
      <c r="K221" s="6" t="s">
        <v>110</v>
      </c>
      <c r="L221" s="6">
        <v>5</v>
      </c>
      <c r="M221" s="6">
        <v>2532.27</v>
      </c>
      <c r="N221" s="6">
        <v>15</v>
      </c>
    </row>
    <row r="222" spans="1:14" x14ac:dyDescent="0.25">
      <c r="A222" s="6">
        <v>10254</v>
      </c>
      <c r="B222" s="6">
        <v>1676</v>
      </c>
      <c r="C222" s="11">
        <v>45010</v>
      </c>
      <c r="D222" s="11">
        <v>45012</v>
      </c>
      <c r="E222" s="6" t="s">
        <v>85</v>
      </c>
      <c r="F222" s="6" t="s">
        <v>79</v>
      </c>
      <c r="G222" s="6" t="s">
        <v>80</v>
      </c>
      <c r="H222" s="6" t="s">
        <v>105</v>
      </c>
      <c r="I222" s="6" t="s">
        <v>115</v>
      </c>
      <c r="J222" s="6" t="s">
        <v>127</v>
      </c>
      <c r="K222" s="6" t="s">
        <v>108</v>
      </c>
      <c r="L222" s="6">
        <v>2</v>
      </c>
      <c r="M222" s="6">
        <v>2711.66</v>
      </c>
      <c r="N222" s="6">
        <v>0</v>
      </c>
    </row>
    <row r="223" spans="1:14" x14ac:dyDescent="0.25">
      <c r="A223" s="6">
        <v>10257</v>
      </c>
      <c r="B223" s="6">
        <v>1233</v>
      </c>
      <c r="C223" s="11">
        <v>45289</v>
      </c>
      <c r="D223" s="11">
        <v>45297</v>
      </c>
      <c r="E223" s="6" t="s">
        <v>103</v>
      </c>
      <c r="F223" s="6" t="s">
        <v>104</v>
      </c>
      <c r="G223" s="6" t="s">
        <v>87</v>
      </c>
      <c r="H223" s="6" t="s">
        <v>107</v>
      </c>
      <c r="I223" s="6" t="s">
        <v>94</v>
      </c>
      <c r="J223" s="6" t="s">
        <v>95</v>
      </c>
      <c r="K223" s="6" t="s">
        <v>110</v>
      </c>
      <c r="L223" s="6">
        <v>3</v>
      </c>
      <c r="M223" s="6">
        <v>240.6</v>
      </c>
      <c r="N223" s="6">
        <v>5</v>
      </c>
    </row>
    <row r="224" spans="1:14" x14ac:dyDescent="0.25">
      <c r="A224" s="6">
        <v>10260</v>
      </c>
      <c r="B224" s="6">
        <v>1974</v>
      </c>
      <c r="C224" s="11">
        <v>45104</v>
      </c>
      <c r="D224" s="11">
        <v>45110</v>
      </c>
      <c r="E224" s="6" t="s">
        <v>85</v>
      </c>
      <c r="F224" s="6" t="s">
        <v>104</v>
      </c>
      <c r="G224" s="6" t="s">
        <v>80</v>
      </c>
      <c r="H224" s="6" t="s">
        <v>105</v>
      </c>
      <c r="I224" s="6" t="s">
        <v>94</v>
      </c>
      <c r="J224" s="6" t="s">
        <v>128</v>
      </c>
      <c r="K224" s="6" t="s">
        <v>91</v>
      </c>
      <c r="L224" s="6">
        <v>3</v>
      </c>
      <c r="M224" s="6">
        <v>647.32000000000005</v>
      </c>
      <c r="N224" s="6">
        <v>5</v>
      </c>
    </row>
    <row r="225" spans="1:14" x14ac:dyDescent="0.25">
      <c r="A225" s="6">
        <v>10261</v>
      </c>
      <c r="B225" s="6">
        <v>1826</v>
      </c>
      <c r="C225" s="11">
        <v>44933</v>
      </c>
      <c r="D225" s="11">
        <v>44936</v>
      </c>
      <c r="E225" s="6" t="s">
        <v>78</v>
      </c>
      <c r="F225" s="6" t="s">
        <v>117</v>
      </c>
      <c r="G225" s="6" t="s">
        <v>87</v>
      </c>
      <c r="H225" s="6" t="s">
        <v>88</v>
      </c>
      <c r="I225" s="6" t="s">
        <v>94</v>
      </c>
      <c r="J225" s="6" t="s">
        <v>95</v>
      </c>
      <c r="K225" s="6" t="s">
        <v>96</v>
      </c>
      <c r="L225" s="6">
        <v>2</v>
      </c>
      <c r="M225" s="6">
        <v>533.25</v>
      </c>
      <c r="N225" s="6">
        <v>0</v>
      </c>
    </row>
    <row r="226" spans="1:14" x14ac:dyDescent="0.25">
      <c r="A226" s="6">
        <v>10262</v>
      </c>
      <c r="B226" s="6">
        <v>1373</v>
      </c>
      <c r="C226" s="11">
        <v>44996</v>
      </c>
      <c r="D226" s="11">
        <v>44998</v>
      </c>
      <c r="E226" s="6" t="s">
        <v>78</v>
      </c>
      <c r="F226" s="6" t="s">
        <v>86</v>
      </c>
      <c r="G226" s="6" t="s">
        <v>80</v>
      </c>
      <c r="H226" s="6" t="s">
        <v>107</v>
      </c>
      <c r="I226" s="6" t="s">
        <v>120</v>
      </c>
      <c r="J226" s="6" t="s">
        <v>122</v>
      </c>
      <c r="K226" s="6" t="s">
        <v>84</v>
      </c>
      <c r="L226" s="6">
        <v>7</v>
      </c>
      <c r="M226" s="6">
        <v>2472.29</v>
      </c>
      <c r="N226" s="6">
        <v>10</v>
      </c>
    </row>
    <row r="227" spans="1:14" x14ac:dyDescent="0.25">
      <c r="A227" s="6">
        <v>10263</v>
      </c>
      <c r="B227" s="6">
        <v>1671</v>
      </c>
      <c r="C227" s="11">
        <v>45053</v>
      </c>
      <c r="D227" s="11">
        <v>45059</v>
      </c>
      <c r="E227" s="6" t="s">
        <v>103</v>
      </c>
      <c r="F227" s="6" t="s">
        <v>101</v>
      </c>
      <c r="G227" s="6" t="s">
        <v>93</v>
      </c>
      <c r="H227" s="6" t="s">
        <v>98</v>
      </c>
      <c r="I227" s="6" t="s">
        <v>112</v>
      </c>
      <c r="J227" s="6" t="s">
        <v>126</v>
      </c>
      <c r="K227" s="6" t="s">
        <v>96</v>
      </c>
      <c r="L227" s="6">
        <v>7</v>
      </c>
      <c r="M227" s="6">
        <v>2165.86</v>
      </c>
      <c r="N227" s="6">
        <v>0</v>
      </c>
    </row>
    <row r="228" spans="1:14" x14ac:dyDescent="0.25">
      <c r="A228" s="6">
        <v>10264</v>
      </c>
      <c r="B228" s="6">
        <v>1607</v>
      </c>
      <c r="C228" s="11">
        <v>45086</v>
      </c>
      <c r="D228" s="11">
        <v>45091</v>
      </c>
      <c r="E228" s="6" t="s">
        <v>78</v>
      </c>
      <c r="F228" s="6" t="s">
        <v>79</v>
      </c>
      <c r="G228" s="6" t="s">
        <v>93</v>
      </c>
      <c r="H228" s="6" t="s">
        <v>107</v>
      </c>
      <c r="I228" s="6" t="s">
        <v>115</v>
      </c>
      <c r="J228" s="6" t="s">
        <v>123</v>
      </c>
      <c r="K228" s="6" t="s">
        <v>110</v>
      </c>
      <c r="L228" s="6">
        <v>4</v>
      </c>
      <c r="M228" s="6">
        <v>1126.3</v>
      </c>
      <c r="N228" s="6">
        <v>20</v>
      </c>
    </row>
    <row r="229" spans="1:14" x14ac:dyDescent="0.25">
      <c r="A229" s="6">
        <v>10266</v>
      </c>
      <c r="B229" s="6">
        <v>1232</v>
      </c>
      <c r="C229" s="11">
        <v>45129</v>
      </c>
      <c r="D229" s="11">
        <v>45134</v>
      </c>
      <c r="E229" s="6" t="s">
        <v>103</v>
      </c>
      <c r="F229" s="6" t="s">
        <v>79</v>
      </c>
      <c r="G229" s="6" t="s">
        <v>93</v>
      </c>
      <c r="H229" s="6" t="s">
        <v>98</v>
      </c>
      <c r="I229" s="6" t="s">
        <v>89</v>
      </c>
      <c r="J229" s="6" t="s">
        <v>124</v>
      </c>
      <c r="K229" s="6" t="s">
        <v>96</v>
      </c>
      <c r="L229" s="6">
        <v>8</v>
      </c>
      <c r="M229" s="6">
        <v>2045.09</v>
      </c>
      <c r="N229" s="6">
        <v>10</v>
      </c>
    </row>
    <row r="230" spans="1:14" x14ac:dyDescent="0.25">
      <c r="A230" s="6">
        <v>10267</v>
      </c>
      <c r="B230" s="6">
        <v>1691</v>
      </c>
      <c r="C230" s="11">
        <v>45074</v>
      </c>
      <c r="D230" s="11">
        <v>45079</v>
      </c>
      <c r="E230" s="6" t="s">
        <v>103</v>
      </c>
      <c r="F230" s="6" t="s">
        <v>101</v>
      </c>
      <c r="G230" s="6" t="s">
        <v>93</v>
      </c>
      <c r="H230" s="6" t="s">
        <v>107</v>
      </c>
      <c r="I230" s="6" t="s">
        <v>115</v>
      </c>
      <c r="J230" s="6" t="s">
        <v>116</v>
      </c>
      <c r="K230" s="6" t="s">
        <v>110</v>
      </c>
      <c r="L230" s="6">
        <v>1</v>
      </c>
      <c r="M230" s="6">
        <v>900.78</v>
      </c>
      <c r="N230" s="6">
        <v>5</v>
      </c>
    </row>
    <row r="231" spans="1:14" x14ac:dyDescent="0.25">
      <c r="A231" s="6">
        <v>10268</v>
      </c>
      <c r="B231" s="6">
        <v>1112</v>
      </c>
      <c r="C231" s="11">
        <v>45069</v>
      </c>
      <c r="D231" s="11">
        <v>45072</v>
      </c>
      <c r="E231" s="6" t="s">
        <v>100</v>
      </c>
      <c r="F231" s="6" t="s">
        <v>79</v>
      </c>
      <c r="G231" s="6" t="s">
        <v>93</v>
      </c>
      <c r="H231" s="6" t="s">
        <v>105</v>
      </c>
      <c r="I231" s="6" t="s">
        <v>94</v>
      </c>
      <c r="J231" s="6" t="s">
        <v>102</v>
      </c>
      <c r="K231" s="6" t="s">
        <v>91</v>
      </c>
      <c r="L231" s="6">
        <v>1</v>
      </c>
      <c r="M231" s="6">
        <v>2660.56</v>
      </c>
      <c r="N231" s="6">
        <v>10</v>
      </c>
    </row>
    <row r="232" spans="1:14" x14ac:dyDescent="0.25">
      <c r="A232" s="6">
        <v>10269</v>
      </c>
      <c r="B232" s="6">
        <v>1829</v>
      </c>
      <c r="C232" s="11">
        <v>45125</v>
      </c>
      <c r="D232" s="11">
        <v>45132</v>
      </c>
      <c r="E232" s="6" t="s">
        <v>78</v>
      </c>
      <c r="F232" s="6" t="s">
        <v>104</v>
      </c>
      <c r="G232" s="6" t="s">
        <v>87</v>
      </c>
      <c r="H232" s="6" t="s">
        <v>98</v>
      </c>
      <c r="I232" s="6" t="s">
        <v>112</v>
      </c>
      <c r="J232" s="6" t="s">
        <v>114</v>
      </c>
      <c r="K232" s="6" t="s">
        <v>110</v>
      </c>
      <c r="L232" s="6">
        <v>5</v>
      </c>
      <c r="M232" s="6">
        <v>3156.54</v>
      </c>
      <c r="N232" s="6">
        <v>20</v>
      </c>
    </row>
    <row r="233" spans="1:14" x14ac:dyDescent="0.25">
      <c r="A233" s="6">
        <v>10270</v>
      </c>
      <c r="B233" s="6">
        <v>1496</v>
      </c>
      <c r="C233" s="11">
        <v>45080</v>
      </c>
      <c r="D233" s="11">
        <v>45086</v>
      </c>
      <c r="E233" s="6" t="s">
        <v>85</v>
      </c>
      <c r="F233" s="6" t="s">
        <v>92</v>
      </c>
      <c r="G233" s="6" t="s">
        <v>87</v>
      </c>
      <c r="H233" s="6" t="s">
        <v>98</v>
      </c>
      <c r="I233" s="6" t="s">
        <v>94</v>
      </c>
      <c r="J233" s="6" t="s">
        <v>128</v>
      </c>
      <c r="K233" s="6" t="s">
        <v>108</v>
      </c>
      <c r="L233" s="6">
        <v>6</v>
      </c>
      <c r="M233" s="6">
        <v>3197.13</v>
      </c>
      <c r="N233" s="6">
        <v>10</v>
      </c>
    </row>
    <row r="234" spans="1:14" x14ac:dyDescent="0.25">
      <c r="A234" s="6">
        <v>10271</v>
      </c>
      <c r="B234" s="6">
        <v>1441</v>
      </c>
      <c r="C234" s="11">
        <v>45068</v>
      </c>
      <c r="D234" s="11">
        <v>45072</v>
      </c>
      <c r="E234" s="6" t="s">
        <v>103</v>
      </c>
      <c r="F234" s="6" t="s">
        <v>79</v>
      </c>
      <c r="G234" s="6" t="s">
        <v>93</v>
      </c>
      <c r="H234" s="6" t="s">
        <v>88</v>
      </c>
      <c r="I234" s="6" t="s">
        <v>82</v>
      </c>
      <c r="J234" s="6" t="s">
        <v>132</v>
      </c>
      <c r="K234" s="6" t="s">
        <v>110</v>
      </c>
      <c r="L234" s="6">
        <v>3</v>
      </c>
      <c r="M234" s="6">
        <v>2469.5100000000002</v>
      </c>
      <c r="N234" s="6">
        <v>0</v>
      </c>
    </row>
    <row r="235" spans="1:14" x14ac:dyDescent="0.25">
      <c r="A235" s="6">
        <v>10273</v>
      </c>
      <c r="B235" s="6">
        <v>1267</v>
      </c>
      <c r="C235" s="11">
        <v>45091</v>
      </c>
      <c r="D235" s="11">
        <v>45100</v>
      </c>
      <c r="E235" s="6" t="s">
        <v>109</v>
      </c>
      <c r="F235" s="6" t="s">
        <v>117</v>
      </c>
      <c r="G235" s="6" t="s">
        <v>93</v>
      </c>
      <c r="H235" s="6" t="s">
        <v>81</v>
      </c>
      <c r="I235" s="6" t="s">
        <v>94</v>
      </c>
      <c r="J235" s="6" t="s">
        <v>102</v>
      </c>
      <c r="K235" s="6" t="s">
        <v>108</v>
      </c>
      <c r="L235" s="6">
        <v>6</v>
      </c>
      <c r="M235" s="6">
        <v>384.88</v>
      </c>
      <c r="N235" s="6">
        <v>5</v>
      </c>
    </row>
    <row r="236" spans="1:14" x14ac:dyDescent="0.25">
      <c r="A236" s="6">
        <v>10274</v>
      </c>
      <c r="B236" s="6">
        <v>1509</v>
      </c>
      <c r="C236" s="11">
        <v>45240</v>
      </c>
      <c r="D236" s="11">
        <v>45241</v>
      </c>
      <c r="E236" s="6" t="s">
        <v>100</v>
      </c>
      <c r="F236" s="6" t="s">
        <v>79</v>
      </c>
      <c r="G236" s="6" t="s">
        <v>87</v>
      </c>
      <c r="H236" s="6" t="s">
        <v>107</v>
      </c>
      <c r="I236" s="6" t="s">
        <v>115</v>
      </c>
      <c r="J236" s="6" t="s">
        <v>123</v>
      </c>
      <c r="K236" s="6" t="s">
        <v>96</v>
      </c>
      <c r="L236" s="6">
        <v>4</v>
      </c>
      <c r="M236" s="6">
        <v>1258.1500000000001</v>
      </c>
      <c r="N236" s="6">
        <v>0</v>
      </c>
    </row>
    <row r="237" spans="1:14" x14ac:dyDescent="0.25">
      <c r="A237" s="6">
        <v>10275</v>
      </c>
      <c r="B237" s="6">
        <v>1806</v>
      </c>
      <c r="C237" s="11">
        <v>44947</v>
      </c>
      <c r="D237" s="11">
        <v>44951</v>
      </c>
      <c r="E237" s="6" t="s">
        <v>79</v>
      </c>
      <c r="F237" s="6" t="s">
        <v>117</v>
      </c>
      <c r="G237" s="6" t="s">
        <v>87</v>
      </c>
      <c r="H237" s="6" t="s">
        <v>88</v>
      </c>
      <c r="I237" s="6" t="s">
        <v>115</v>
      </c>
      <c r="J237" s="6" t="s">
        <v>127</v>
      </c>
      <c r="K237" s="6" t="s">
        <v>96</v>
      </c>
      <c r="L237" s="6">
        <v>7</v>
      </c>
      <c r="M237" s="6">
        <v>509.1</v>
      </c>
      <c r="N237" s="6">
        <v>15</v>
      </c>
    </row>
    <row r="238" spans="1:14" x14ac:dyDescent="0.25">
      <c r="A238" s="6">
        <v>10277</v>
      </c>
      <c r="B238" s="6">
        <v>1386</v>
      </c>
      <c r="C238" s="11">
        <v>44995</v>
      </c>
      <c r="D238" s="11">
        <v>45001</v>
      </c>
      <c r="E238" s="6" t="s">
        <v>103</v>
      </c>
      <c r="F238" s="6" t="s">
        <v>104</v>
      </c>
      <c r="G238" s="6" t="s">
        <v>93</v>
      </c>
      <c r="H238" s="6" t="s">
        <v>81</v>
      </c>
      <c r="I238" s="6" t="s">
        <v>89</v>
      </c>
      <c r="J238" s="6" t="s">
        <v>131</v>
      </c>
      <c r="K238" s="6" t="s">
        <v>108</v>
      </c>
      <c r="L238" s="6">
        <v>9</v>
      </c>
      <c r="M238" s="6">
        <v>670.06</v>
      </c>
      <c r="N238" s="6">
        <v>20</v>
      </c>
    </row>
    <row r="239" spans="1:14" x14ac:dyDescent="0.25">
      <c r="A239" s="6">
        <v>10280</v>
      </c>
      <c r="B239" s="6">
        <v>1624</v>
      </c>
      <c r="C239" s="11">
        <v>45144</v>
      </c>
      <c r="D239" s="11">
        <v>45149</v>
      </c>
      <c r="E239" s="6" t="s">
        <v>109</v>
      </c>
      <c r="F239" s="6" t="s">
        <v>104</v>
      </c>
      <c r="G239" s="6" t="s">
        <v>87</v>
      </c>
      <c r="H239" s="6" t="s">
        <v>81</v>
      </c>
      <c r="I239" s="6" t="s">
        <v>112</v>
      </c>
      <c r="J239" s="6" t="s">
        <v>130</v>
      </c>
      <c r="K239" s="6" t="s">
        <v>96</v>
      </c>
      <c r="L239" s="6">
        <v>8</v>
      </c>
      <c r="M239" s="6">
        <v>3784.12</v>
      </c>
      <c r="N239" s="6">
        <v>15</v>
      </c>
    </row>
    <row r="240" spans="1:14" x14ac:dyDescent="0.25">
      <c r="A240" s="6">
        <v>10281</v>
      </c>
      <c r="B240" s="6">
        <v>1951</v>
      </c>
      <c r="C240" s="11">
        <v>45231</v>
      </c>
      <c r="D240" s="11">
        <v>45240</v>
      </c>
      <c r="E240" s="6" t="s">
        <v>109</v>
      </c>
      <c r="F240" s="6" t="s">
        <v>117</v>
      </c>
      <c r="G240" s="6" t="s">
        <v>93</v>
      </c>
      <c r="H240" s="6" t="s">
        <v>107</v>
      </c>
      <c r="I240" s="6" t="s">
        <v>89</v>
      </c>
      <c r="J240" s="6" t="s">
        <v>131</v>
      </c>
      <c r="K240" s="6" t="s">
        <v>84</v>
      </c>
      <c r="L240" s="6">
        <v>5</v>
      </c>
      <c r="M240" s="6">
        <v>3098.44</v>
      </c>
      <c r="N240" s="6">
        <v>0</v>
      </c>
    </row>
    <row r="241" spans="1:14" x14ac:dyDescent="0.25">
      <c r="A241" s="6">
        <v>10286</v>
      </c>
      <c r="B241" s="6">
        <v>1641</v>
      </c>
      <c r="C241" s="11">
        <v>45043</v>
      </c>
      <c r="D241" s="11">
        <v>45050</v>
      </c>
      <c r="E241" s="6" t="s">
        <v>78</v>
      </c>
      <c r="F241" s="6" t="s">
        <v>92</v>
      </c>
      <c r="G241" s="6" t="s">
        <v>80</v>
      </c>
      <c r="H241" s="6" t="s">
        <v>107</v>
      </c>
      <c r="I241" s="6" t="s">
        <v>120</v>
      </c>
      <c r="J241" s="6" t="s">
        <v>121</v>
      </c>
      <c r="K241" s="6" t="s">
        <v>91</v>
      </c>
      <c r="L241" s="6">
        <v>6</v>
      </c>
      <c r="M241" s="6">
        <v>220.79</v>
      </c>
      <c r="N241" s="6">
        <v>5</v>
      </c>
    </row>
    <row r="242" spans="1:14" x14ac:dyDescent="0.25">
      <c r="A242" s="6">
        <v>10287</v>
      </c>
      <c r="B242" s="6">
        <v>1219</v>
      </c>
      <c r="C242" s="11">
        <v>45122</v>
      </c>
      <c r="D242" s="11">
        <v>45125</v>
      </c>
      <c r="E242" s="6" t="s">
        <v>85</v>
      </c>
      <c r="F242" s="6" t="s">
        <v>101</v>
      </c>
      <c r="G242" s="6" t="s">
        <v>87</v>
      </c>
      <c r="H242" s="6" t="s">
        <v>81</v>
      </c>
      <c r="I242" s="6" t="s">
        <v>120</v>
      </c>
      <c r="J242" s="6" t="s">
        <v>129</v>
      </c>
      <c r="K242" s="6" t="s">
        <v>84</v>
      </c>
      <c r="L242" s="6">
        <v>6</v>
      </c>
      <c r="M242" s="6">
        <v>1936.66</v>
      </c>
      <c r="N242" s="6">
        <v>0</v>
      </c>
    </row>
    <row r="243" spans="1:14" x14ac:dyDescent="0.25">
      <c r="A243" s="6">
        <v>10289</v>
      </c>
      <c r="B243" s="6">
        <v>1854</v>
      </c>
      <c r="C243" s="11">
        <v>45012</v>
      </c>
      <c r="D243" s="11">
        <v>45014</v>
      </c>
      <c r="E243" s="6" t="s">
        <v>100</v>
      </c>
      <c r="F243" s="6" t="s">
        <v>117</v>
      </c>
      <c r="G243" s="6" t="s">
        <v>80</v>
      </c>
      <c r="H243" s="6" t="s">
        <v>88</v>
      </c>
      <c r="I243" s="6" t="s">
        <v>120</v>
      </c>
      <c r="J243" s="6" t="s">
        <v>121</v>
      </c>
      <c r="K243" s="6" t="s">
        <v>84</v>
      </c>
      <c r="L243" s="6">
        <v>7</v>
      </c>
      <c r="M243" s="6">
        <v>1396.71</v>
      </c>
      <c r="N243" s="6">
        <v>20</v>
      </c>
    </row>
    <row r="244" spans="1:14" x14ac:dyDescent="0.25">
      <c r="A244" s="6">
        <v>10290</v>
      </c>
      <c r="B244" s="6">
        <v>1996</v>
      </c>
      <c r="C244" s="11">
        <v>45215</v>
      </c>
      <c r="D244" s="11">
        <v>45218</v>
      </c>
      <c r="E244" s="6" t="s">
        <v>100</v>
      </c>
      <c r="F244" s="6" t="s">
        <v>104</v>
      </c>
      <c r="G244" s="6" t="s">
        <v>93</v>
      </c>
      <c r="H244" s="6" t="s">
        <v>81</v>
      </c>
      <c r="I244" s="6" t="s">
        <v>82</v>
      </c>
      <c r="J244" s="6" t="s">
        <v>83</v>
      </c>
      <c r="K244" s="6" t="s">
        <v>91</v>
      </c>
      <c r="L244" s="6">
        <v>8</v>
      </c>
      <c r="M244" s="6">
        <v>2695.39</v>
      </c>
      <c r="N244" s="6">
        <v>10</v>
      </c>
    </row>
    <row r="245" spans="1:14" x14ac:dyDescent="0.25">
      <c r="A245" s="6">
        <v>10291</v>
      </c>
      <c r="B245" s="6">
        <v>1735</v>
      </c>
      <c r="C245" s="11">
        <v>45007</v>
      </c>
      <c r="D245" s="11">
        <v>45008</v>
      </c>
      <c r="E245" s="6" t="s">
        <v>78</v>
      </c>
      <c r="F245" s="6" t="s">
        <v>117</v>
      </c>
      <c r="G245" s="6" t="s">
        <v>87</v>
      </c>
      <c r="H245" s="6" t="s">
        <v>88</v>
      </c>
      <c r="I245" s="6" t="s">
        <v>115</v>
      </c>
      <c r="J245" s="6" t="s">
        <v>116</v>
      </c>
      <c r="K245" s="6" t="s">
        <v>96</v>
      </c>
      <c r="L245" s="6">
        <v>9</v>
      </c>
      <c r="M245" s="6">
        <v>2661.11</v>
      </c>
      <c r="N245" s="6">
        <v>10</v>
      </c>
    </row>
    <row r="246" spans="1:14" x14ac:dyDescent="0.25">
      <c r="A246" s="6">
        <v>10294</v>
      </c>
      <c r="B246" s="6">
        <v>1402</v>
      </c>
      <c r="C246" s="11">
        <v>44987</v>
      </c>
      <c r="D246" s="11">
        <v>44994</v>
      </c>
      <c r="E246" s="6" t="s">
        <v>85</v>
      </c>
      <c r="F246" s="6" t="s">
        <v>79</v>
      </c>
      <c r="G246" s="6" t="s">
        <v>87</v>
      </c>
      <c r="H246" s="6" t="s">
        <v>98</v>
      </c>
      <c r="I246" s="6" t="s">
        <v>82</v>
      </c>
      <c r="J246" s="6" t="s">
        <v>106</v>
      </c>
      <c r="K246" s="6" t="s">
        <v>108</v>
      </c>
      <c r="L246" s="6">
        <v>3</v>
      </c>
      <c r="M246" s="6">
        <v>967.49</v>
      </c>
      <c r="N246" s="6">
        <v>0</v>
      </c>
    </row>
    <row r="247" spans="1:14" x14ac:dyDescent="0.25">
      <c r="A247" s="6">
        <v>10295</v>
      </c>
      <c r="B247" s="6">
        <v>1637</v>
      </c>
      <c r="C247" s="11">
        <v>45280</v>
      </c>
      <c r="D247" s="11">
        <v>45284</v>
      </c>
      <c r="E247" s="6" t="s">
        <v>97</v>
      </c>
      <c r="F247" s="6" t="s">
        <v>86</v>
      </c>
      <c r="G247" s="6" t="s">
        <v>87</v>
      </c>
      <c r="H247" s="6" t="s">
        <v>105</v>
      </c>
      <c r="I247" s="6" t="s">
        <v>94</v>
      </c>
      <c r="J247" s="6" t="s">
        <v>111</v>
      </c>
      <c r="K247" s="6" t="s">
        <v>96</v>
      </c>
      <c r="L247" s="6">
        <v>1</v>
      </c>
      <c r="M247" s="6">
        <v>619.73</v>
      </c>
      <c r="N247" s="6">
        <v>0</v>
      </c>
    </row>
    <row r="248" spans="1:14" x14ac:dyDescent="0.25">
      <c r="A248" s="6">
        <v>10296</v>
      </c>
      <c r="B248" s="6">
        <v>1129</v>
      </c>
      <c r="C248" s="11">
        <v>44954</v>
      </c>
      <c r="D248" s="11">
        <v>44957</v>
      </c>
      <c r="E248" s="6" t="s">
        <v>79</v>
      </c>
      <c r="F248" s="6" t="s">
        <v>79</v>
      </c>
      <c r="G248" s="6" t="s">
        <v>80</v>
      </c>
      <c r="H248" s="6" t="s">
        <v>98</v>
      </c>
      <c r="I248" s="6" t="s">
        <v>94</v>
      </c>
      <c r="J248" s="6" t="s">
        <v>111</v>
      </c>
      <c r="K248" s="6" t="s">
        <v>110</v>
      </c>
      <c r="L248" s="6">
        <v>5</v>
      </c>
      <c r="M248" s="6">
        <v>2850.33</v>
      </c>
      <c r="N248" s="6">
        <v>5</v>
      </c>
    </row>
    <row r="249" spans="1:14" x14ac:dyDescent="0.25">
      <c r="A249" s="6">
        <v>10302</v>
      </c>
      <c r="B249" s="6">
        <v>1415</v>
      </c>
      <c r="C249" s="11">
        <v>45024</v>
      </c>
      <c r="D249" s="11">
        <v>45027</v>
      </c>
      <c r="E249" s="6" t="s">
        <v>79</v>
      </c>
      <c r="F249" s="6" t="s">
        <v>92</v>
      </c>
      <c r="G249" s="6" t="s">
        <v>87</v>
      </c>
      <c r="H249" s="6" t="s">
        <v>81</v>
      </c>
      <c r="I249" s="6" t="s">
        <v>94</v>
      </c>
      <c r="J249" s="6" t="s">
        <v>128</v>
      </c>
      <c r="K249" s="6" t="s">
        <v>96</v>
      </c>
      <c r="L249" s="6">
        <v>7</v>
      </c>
      <c r="M249" s="6">
        <v>636.59</v>
      </c>
      <c r="N249" s="6">
        <v>5</v>
      </c>
    </row>
    <row r="250" spans="1:14" x14ac:dyDescent="0.25">
      <c r="A250" s="6">
        <v>10303</v>
      </c>
      <c r="B250" s="6">
        <v>1246</v>
      </c>
      <c r="C250" s="11">
        <v>45124</v>
      </c>
      <c r="D250" s="11">
        <v>45125</v>
      </c>
      <c r="E250" s="6" t="s">
        <v>100</v>
      </c>
      <c r="F250" s="6" t="s">
        <v>92</v>
      </c>
      <c r="G250" s="6" t="s">
        <v>80</v>
      </c>
      <c r="H250" s="6" t="s">
        <v>88</v>
      </c>
      <c r="I250" s="6" t="s">
        <v>120</v>
      </c>
      <c r="J250" s="6" t="s">
        <v>129</v>
      </c>
      <c r="K250" s="6" t="s">
        <v>84</v>
      </c>
      <c r="L250" s="6">
        <v>6</v>
      </c>
      <c r="M250" s="6">
        <v>257.2</v>
      </c>
      <c r="N250" s="6">
        <v>0</v>
      </c>
    </row>
    <row r="251" spans="1:14" x14ac:dyDescent="0.25">
      <c r="A251" s="6">
        <v>10304</v>
      </c>
      <c r="B251" s="6">
        <v>1835</v>
      </c>
      <c r="C251" s="11">
        <v>45024</v>
      </c>
      <c r="D251" s="11">
        <v>45027</v>
      </c>
      <c r="E251" s="6" t="s">
        <v>103</v>
      </c>
      <c r="F251" s="6" t="s">
        <v>86</v>
      </c>
      <c r="G251" s="6" t="s">
        <v>87</v>
      </c>
      <c r="H251" s="6" t="s">
        <v>88</v>
      </c>
      <c r="I251" s="6" t="s">
        <v>89</v>
      </c>
      <c r="J251" s="6" t="s">
        <v>124</v>
      </c>
      <c r="K251" s="6" t="s">
        <v>84</v>
      </c>
      <c r="L251" s="6">
        <v>4</v>
      </c>
      <c r="M251" s="6">
        <v>2547.52</v>
      </c>
      <c r="N251" s="6">
        <v>20</v>
      </c>
    </row>
    <row r="252" spans="1:14" x14ac:dyDescent="0.25">
      <c r="A252" s="6">
        <v>10305</v>
      </c>
      <c r="B252" s="6">
        <v>1438</v>
      </c>
      <c r="C252" s="11">
        <v>44991</v>
      </c>
      <c r="D252" s="11">
        <v>44993</v>
      </c>
      <c r="E252" s="6" t="s">
        <v>109</v>
      </c>
      <c r="F252" s="6" t="s">
        <v>104</v>
      </c>
      <c r="G252" s="6" t="s">
        <v>80</v>
      </c>
      <c r="H252" s="6" t="s">
        <v>98</v>
      </c>
      <c r="I252" s="6" t="s">
        <v>94</v>
      </c>
      <c r="J252" s="6" t="s">
        <v>111</v>
      </c>
      <c r="K252" s="6" t="s">
        <v>84</v>
      </c>
      <c r="L252" s="6">
        <v>2</v>
      </c>
      <c r="M252" s="6">
        <v>3256.02</v>
      </c>
      <c r="N252" s="6">
        <v>20</v>
      </c>
    </row>
    <row r="253" spans="1:14" x14ac:dyDescent="0.25">
      <c r="A253" s="6">
        <v>10306</v>
      </c>
      <c r="B253" s="6">
        <v>1202</v>
      </c>
      <c r="C253" s="11">
        <v>45256</v>
      </c>
      <c r="D253" s="11">
        <v>45264</v>
      </c>
      <c r="E253" s="6" t="s">
        <v>109</v>
      </c>
      <c r="F253" s="6" t="s">
        <v>92</v>
      </c>
      <c r="G253" s="6" t="s">
        <v>93</v>
      </c>
      <c r="H253" s="6" t="s">
        <v>105</v>
      </c>
      <c r="I253" s="6" t="s">
        <v>120</v>
      </c>
      <c r="J253" s="6" t="s">
        <v>125</v>
      </c>
      <c r="K253" s="6" t="s">
        <v>91</v>
      </c>
      <c r="L253" s="6">
        <v>1</v>
      </c>
      <c r="M253" s="6">
        <v>3391.76</v>
      </c>
      <c r="N253" s="6">
        <v>20</v>
      </c>
    </row>
    <row r="254" spans="1:14" x14ac:dyDescent="0.25">
      <c r="A254" s="6">
        <v>10307</v>
      </c>
      <c r="B254" s="6">
        <v>1183</v>
      </c>
      <c r="C254" s="11">
        <v>45267</v>
      </c>
      <c r="D254" s="11">
        <v>45273</v>
      </c>
      <c r="E254" s="6" t="s">
        <v>78</v>
      </c>
      <c r="F254" s="6" t="s">
        <v>79</v>
      </c>
      <c r="G254" s="6" t="s">
        <v>87</v>
      </c>
      <c r="H254" s="6" t="s">
        <v>105</v>
      </c>
      <c r="I254" s="6" t="s">
        <v>120</v>
      </c>
      <c r="J254" s="6" t="s">
        <v>121</v>
      </c>
      <c r="K254" s="6" t="s">
        <v>91</v>
      </c>
      <c r="L254" s="6">
        <v>4</v>
      </c>
      <c r="M254" s="6">
        <v>2008.45</v>
      </c>
      <c r="N254" s="6">
        <v>5</v>
      </c>
    </row>
    <row r="255" spans="1:14" x14ac:dyDescent="0.25">
      <c r="A255" s="6">
        <v>10308</v>
      </c>
      <c r="B255" s="6">
        <v>1122</v>
      </c>
      <c r="C255" s="11">
        <v>44931</v>
      </c>
      <c r="D255" s="11">
        <v>44940</v>
      </c>
      <c r="E255" s="6" t="s">
        <v>100</v>
      </c>
      <c r="F255" s="6" t="s">
        <v>86</v>
      </c>
      <c r="G255" s="6" t="s">
        <v>93</v>
      </c>
      <c r="H255" s="6" t="s">
        <v>88</v>
      </c>
      <c r="I255" s="6" t="s">
        <v>115</v>
      </c>
      <c r="J255" s="6" t="s">
        <v>116</v>
      </c>
      <c r="K255" s="6" t="s">
        <v>108</v>
      </c>
      <c r="L255" s="6">
        <v>4</v>
      </c>
      <c r="M255" s="6">
        <v>3143.2</v>
      </c>
      <c r="N255" s="6">
        <v>0</v>
      </c>
    </row>
    <row r="256" spans="1:14" x14ac:dyDescent="0.25">
      <c r="A256" s="6">
        <v>10309</v>
      </c>
      <c r="B256" s="6">
        <v>1400</v>
      </c>
      <c r="C256" s="11">
        <v>44928</v>
      </c>
      <c r="D256" s="11">
        <v>44936</v>
      </c>
      <c r="E256" s="6" t="s">
        <v>97</v>
      </c>
      <c r="F256" s="6" t="s">
        <v>92</v>
      </c>
      <c r="G256" s="6" t="s">
        <v>93</v>
      </c>
      <c r="H256" s="6" t="s">
        <v>107</v>
      </c>
      <c r="I256" s="6" t="s">
        <v>112</v>
      </c>
      <c r="J256" s="6" t="s">
        <v>114</v>
      </c>
      <c r="K256" s="6" t="s">
        <v>110</v>
      </c>
      <c r="L256" s="6">
        <v>1</v>
      </c>
      <c r="M256" s="6">
        <v>2740.46</v>
      </c>
      <c r="N256" s="6">
        <v>10</v>
      </c>
    </row>
    <row r="257" spans="1:14" x14ac:dyDescent="0.25">
      <c r="A257" s="6">
        <v>10311</v>
      </c>
      <c r="B257" s="6">
        <v>1293</v>
      </c>
      <c r="C257" s="11">
        <v>45038</v>
      </c>
      <c r="D257" s="11">
        <v>45043</v>
      </c>
      <c r="E257" s="6" t="s">
        <v>109</v>
      </c>
      <c r="F257" s="6" t="s">
        <v>86</v>
      </c>
      <c r="G257" s="6" t="s">
        <v>87</v>
      </c>
      <c r="H257" s="6" t="s">
        <v>81</v>
      </c>
      <c r="I257" s="6" t="s">
        <v>82</v>
      </c>
      <c r="J257" s="6" t="s">
        <v>106</v>
      </c>
      <c r="K257" s="6" t="s">
        <v>96</v>
      </c>
      <c r="L257" s="6">
        <v>4</v>
      </c>
      <c r="M257" s="6">
        <v>2046.51</v>
      </c>
      <c r="N257" s="6">
        <v>5</v>
      </c>
    </row>
    <row r="258" spans="1:14" x14ac:dyDescent="0.25">
      <c r="A258" s="6">
        <v>10312</v>
      </c>
      <c r="B258" s="6">
        <v>1279</v>
      </c>
      <c r="C258" s="11">
        <v>44983</v>
      </c>
      <c r="D258" s="11">
        <v>44990</v>
      </c>
      <c r="E258" s="6" t="s">
        <v>109</v>
      </c>
      <c r="F258" s="6" t="s">
        <v>101</v>
      </c>
      <c r="G258" s="6" t="s">
        <v>93</v>
      </c>
      <c r="H258" s="6" t="s">
        <v>81</v>
      </c>
      <c r="I258" s="6" t="s">
        <v>115</v>
      </c>
      <c r="J258" s="6" t="s">
        <v>119</v>
      </c>
      <c r="K258" s="6" t="s">
        <v>96</v>
      </c>
      <c r="L258" s="6">
        <v>1</v>
      </c>
      <c r="M258" s="6">
        <v>2588.64</v>
      </c>
      <c r="N258" s="6">
        <v>0</v>
      </c>
    </row>
    <row r="259" spans="1:14" x14ac:dyDescent="0.25">
      <c r="A259" s="6">
        <v>10313</v>
      </c>
      <c r="B259" s="6">
        <v>1836</v>
      </c>
      <c r="C259" s="11">
        <v>44992</v>
      </c>
      <c r="D259" s="11">
        <v>44997</v>
      </c>
      <c r="E259" s="6" t="s">
        <v>103</v>
      </c>
      <c r="F259" s="6" t="s">
        <v>104</v>
      </c>
      <c r="G259" s="6" t="s">
        <v>80</v>
      </c>
      <c r="H259" s="6" t="s">
        <v>98</v>
      </c>
      <c r="I259" s="6" t="s">
        <v>120</v>
      </c>
      <c r="J259" s="6" t="s">
        <v>125</v>
      </c>
      <c r="K259" s="6" t="s">
        <v>108</v>
      </c>
      <c r="L259" s="6">
        <v>1</v>
      </c>
      <c r="M259" s="6">
        <v>3251.27</v>
      </c>
      <c r="N259" s="6">
        <v>15</v>
      </c>
    </row>
    <row r="260" spans="1:14" x14ac:dyDescent="0.25">
      <c r="A260" s="6">
        <v>10314</v>
      </c>
      <c r="B260" s="6">
        <v>1883</v>
      </c>
      <c r="C260" s="11">
        <v>45256</v>
      </c>
      <c r="D260" s="11">
        <v>45264</v>
      </c>
      <c r="E260" s="6" t="s">
        <v>100</v>
      </c>
      <c r="F260" s="6" t="s">
        <v>79</v>
      </c>
      <c r="G260" s="6" t="s">
        <v>87</v>
      </c>
      <c r="H260" s="6" t="s">
        <v>88</v>
      </c>
      <c r="I260" s="6" t="s">
        <v>89</v>
      </c>
      <c r="J260" s="6" t="s">
        <v>131</v>
      </c>
      <c r="K260" s="6" t="s">
        <v>91</v>
      </c>
      <c r="L260" s="6">
        <v>1</v>
      </c>
      <c r="M260" s="6">
        <v>1681.85</v>
      </c>
      <c r="N260" s="6">
        <v>5</v>
      </c>
    </row>
    <row r="261" spans="1:14" x14ac:dyDescent="0.25">
      <c r="A261" s="6">
        <v>10315</v>
      </c>
      <c r="B261" s="6">
        <v>1609</v>
      </c>
      <c r="C261" s="11">
        <v>45024</v>
      </c>
      <c r="D261" s="11">
        <v>45029</v>
      </c>
      <c r="E261" s="6" t="s">
        <v>100</v>
      </c>
      <c r="F261" s="6" t="s">
        <v>92</v>
      </c>
      <c r="G261" s="6" t="s">
        <v>87</v>
      </c>
      <c r="H261" s="6" t="s">
        <v>81</v>
      </c>
      <c r="I261" s="6" t="s">
        <v>112</v>
      </c>
      <c r="J261" s="6" t="s">
        <v>113</v>
      </c>
      <c r="K261" s="6" t="s">
        <v>108</v>
      </c>
      <c r="L261" s="6">
        <v>8</v>
      </c>
      <c r="M261" s="6">
        <v>3253.02</v>
      </c>
      <c r="N261" s="6">
        <v>15</v>
      </c>
    </row>
    <row r="262" spans="1:14" x14ac:dyDescent="0.25">
      <c r="A262" s="6">
        <v>10316</v>
      </c>
      <c r="B262" s="6">
        <v>1197</v>
      </c>
      <c r="C262" s="11">
        <v>45070</v>
      </c>
      <c r="D262" s="11">
        <v>45071</v>
      </c>
      <c r="E262" s="6" t="s">
        <v>109</v>
      </c>
      <c r="F262" s="6" t="s">
        <v>101</v>
      </c>
      <c r="G262" s="6" t="s">
        <v>93</v>
      </c>
      <c r="H262" s="6" t="s">
        <v>81</v>
      </c>
      <c r="I262" s="6" t="s">
        <v>120</v>
      </c>
      <c r="J262" s="6" t="s">
        <v>121</v>
      </c>
      <c r="K262" s="6" t="s">
        <v>96</v>
      </c>
      <c r="L262" s="6">
        <v>8</v>
      </c>
      <c r="M262" s="6">
        <v>2429.2600000000002</v>
      </c>
      <c r="N262" s="6">
        <v>15</v>
      </c>
    </row>
    <row r="263" spans="1:14" x14ac:dyDescent="0.25">
      <c r="A263" s="6">
        <v>10317</v>
      </c>
      <c r="B263" s="6">
        <v>1981</v>
      </c>
      <c r="C263" s="11">
        <v>45051</v>
      </c>
      <c r="D263" s="11">
        <v>45056</v>
      </c>
      <c r="E263" s="6" t="s">
        <v>97</v>
      </c>
      <c r="F263" s="6" t="s">
        <v>101</v>
      </c>
      <c r="G263" s="6" t="s">
        <v>87</v>
      </c>
      <c r="H263" s="6" t="s">
        <v>88</v>
      </c>
      <c r="I263" s="6" t="s">
        <v>112</v>
      </c>
      <c r="J263" s="6" t="s">
        <v>126</v>
      </c>
      <c r="K263" s="6" t="s">
        <v>110</v>
      </c>
      <c r="L263" s="6">
        <v>2</v>
      </c>
      <c r="M263" s="6">
        <v>788.72</v>
      </c>
      <c r="N263" s="6">
        <v>20</v>
      </c>
    </row>
    <row r="264" spans="1:14" x14ac:dyDescent="0.25">
      <c r="A264" s="6">
        <v>10318</v>
      </c>
      <c r="B264" s="6">
        <v>1906</v>
      </c>
      <c r="C264" s="11">
        <v>45093</v>
      </c>
      <c r="D264" s="11">
        <v>45097</v>
      </c>
      <c r="E264" s="6" t="s">
        <v>78</v>
      </c>
      <c r="F264" s="6" t="s">
        <v>86</v>
      </c>
      <c r="G264" s="6" t="s">
        <v>93</v>
      </c>
      <c r="H264" s="6" t="s">
        <v>98</v>
      </c>
      <c r="I264" s="6" t="s">
        <v>112</v>
      </c>
      <c r="J264" s="6" t="s">
        <v>130</v>
      </c>
      <c r="K264" s="6" t="s">
        <v>84</v>
      </c>
      <c r="L264" s="6">
        <v>7</v>
      </c>
      <c r="M264" s="6">
        <v>245.03</v>
      </c>
      <c r="N264" s="6">
        <v>0</v>
      </c>
    </row>
    <row r="265" spans="1:14" x14ac:dyDescent="0.25">
      <c r="A265" s="6">
        <v>10320</v>
      </c>
      <c r="B265" s="6">
        <v>1751</v>
      </c>
      <c r="C265" s="11">
        <v>45002</v>
      </c>
      <c r="D265" s="11">
        <v>45005</v>
      </c>
      <c r="E265" s="6" t="s">
        <v>78</v>
      </c>
      <c r="F265" s="6" t="s">
        <v>79</v>
      </c>
      <c r="G265" s="6" t="s">
        <v>80</v>
      </c>
      <c r="H265" s="6" t="s">
        <v>98</v>
      </c>
      <c r="I265" s="6" t="s">
        <v>89</v>
      </c>
      <c r="J265" s="6" t="s">
        <v>99</v>
      </c>
      <c r="K265" s="6" t="s">
        <v>91</v>
      </c>
      <c r="L265" s="6">
        <v>8</v>
      </c>
      <c r="M265" s="6">
        <v>2254.7800000000002</v>
      </c>
      <c r="N265" s="6">
        <v>0</v>
      </c>
    </row>
    <row r="266" spans="1:14" x14ac:dyDescent="0.25">
      <c r="A266" s="6">
        <v>10321</v>
      </c>
      <c r="B266" s="6">
        <v>1143</v>
      </c>
      <c r="C266" s="11">
        <v>45270</v>
      </c>
      <c r="D266" s="11">
        <v>45275</v>
      </c>
      <c r="E266" s="6" t="s">
        <v>100</v>
      </c>
      <c r="F266" s="6" t="s">
        <v>79</v>
      </c>
      <c r="G266" s="6" t="s">
        <v>93</v>
      </c>
      <c r="H266" s="6" t="s">
        <v>105</v>
      </c>
      <c r="I266" s="6" t="s">
        <v>115</v>
      </c>
      <c r="J266" s="6" t="s">
        <v>123</v>
      </c>
      <c r="K266" s="6" t="s">
        <v>108</v>
      </c>
      <c r="L266" s="6">
        <v>7</v>
      </c>
      <c r="M266" s="6">
        <v>3383.31</v>
      </c>
      <c r="N266" s="6">
        <v>20</v>
      </c>
    </row>
    <row r="267" spans="1:14" x14ac:dyDescent="0.25">
      <c r="A267" s="6">
        <v>10322</v>
      </c>
      <c r="B267" s="6">
        <v>1608</v>
      </c>
      <c r="C267" s="11">
        <v>45220</v>
      </c>
      <c r="D267" s="11">
        <v>45222</v>
      </c>
      <c r="E267" s="6" t="s">
        <v>78</v>
      </c>
      <c r="F267" s="6" t="s">
        <v>117</v>
      </c>
      <c r="G267" s="6" t="s">
        <v>93</v>
      </c>
      <c r="H267" s="6" t="s">
        <v>98</v>
      </c>
      <c r="I267" s="6" t="s">
        <v>89</v>
      </c>
      <c r="J267" s="6" t="s">
        <v>124</v>
      </c>
      <c r="K267" s="6" t="s">
        <v>91</v>
      </c>
      <c r="L267" s="6">
        <v>5</v>
      </c>
      <c r="M267" s="6">
        <v>640.82000000000005</v>
      </c>
      <c r="N267" s="6">
        <v>0</v>
      </c>
    </row>
    <row r="268" spans="1:14" x14ac:dyDescent="0.25">
      <c r="A268" s="6">
        <v>10324</v>
      </c>
      <c r="B268" s="6">
        <v>1123</v>
      </c>
      <c r="C268" s="11">
        <v>45064</v>
      </c>
      <c r="D268" s="11">
        <v>45070</v>
      </c>
      <c r="E268" s="6" t="s">
        <v>109</v>
      </c>
      <c r="F268" s="6" t="s">
        <v>104</v>
      </c>
      <c r="G268" s="6" t="s">
        <v>87</v>
      </c>
      <c r="H268" s="6" t="s">
        <v>107</v>
      </c>
      <c r="I268" s="6" t="s">
        <v>120</v>
      </c>
      <c r="J268" s="6" t="s">
        <v>121</v>
      </c>
      <c r="K268" s="6" t="s">
        <v>96</v>
      </c>
      <c r="L268" s="6">
        <v>9</v>
      </c>
      <c r="M268" s="6">
        <v>3472.58</v>
      </c>
      <c r="N268" s="6">
        <v>15</v>
      </c>
    </row>
    <row r="269" spans="1:14" x14ac:dyDescent="0.25">
      <c r="A269" s="6">
        <v>10325</v>
      </c>
      <c r="B269" s="6">
        <v>1186</v>
      </c>
      <c r="C269" s="11">
        <v>45025</v>
      </c>
      <c r="D269" s="11">
        <v>45030</v>
      </c>
      <c r="E269" s="6" t="s">
        <v>100</v>
      </c>
      <c r="F269" s="6" t="s">
        <v>101</v>
      </c>
      <c r="G269" s="6" t="s">
        <v>93</v>
      </c>
      <c r="H269" s="6" t="s">
        <v>98</v>
      </c>
      <c r="I269" s="6" t="s">
        <v>115</v>
      </c>
      <c r="J269" s="6" t="s">
        <v>127</v>
      </c>
      <c r="K269" s="6" t="s">
        <v>108</v>
      </c>
      <c r="L269" s="6">
        <v>7</v>
      </c>
      <c r="M269" s="6">
        <v>730.15</v>
      </c>
      <c r="N269" s="6">
        <v>0</v>
      </c>
    </row>
    <row r="270" spans="1:14" x14ac:dyDescent="0.25">
      <c r="A270" s="6">
        <v>10326</v>
      </c>
      <c r="B270" s="6">
        <v>1325</v>
      </c>
      <c r="C270" s="11">
        <v>45118</v>
      </c>
      <c r="D270" s="11">
        <v>45124</v>
      </c>
      <c r="E270" s="6" t="s">
        <v>100</v>
      </c>
      <c r="F270" s="6" t="s">
        <v>79</v>
      </c>
      <c r="G270" s="6" t="s">
        <v>87</v>
      </c>
      <c r="H270" s="6" t="s">
        <v>107</v>
      </c>
      <c r="I270" s="6" t="s">
        <v>115</v>
      </c>
      <c r="J270" s="6" t="s">
        <v>123</v>
      </c>
      <c r="K270" s="6" t="s">
        <v>96</v>
      </c>
      <c r="L270" s="6">
        <v>2</v>
      </c>
      <c r="M270" s="6">
        <v>3428.64</v>
      </c>
      <c r="N270" s="6">
        <v>10</v>
      </c>
    </row>
    <row r="271" spans="1:14" x14ac:dyDescent="0.25">
      <c r="A271" s="6">
        <v>10327</v>
      </c>
      <c r="B271" s="6">
        <v>1463</v>
      </c>
      <c r="C271" s="11">
        <v>45169</v>
      </c>
      <c r="D271" s="11">
        <v>45176</v>
      </c>
      <c r="E271" s="6" t="s">
        <v>85</v>
      </c>
      <c r="F271" s="6" t="s">
        <v>86</v>
      </c>
      <c r="G271" s="6" t="s">
        <v>80</v>
      </c>
      <c r="H271" s="6" t="s">
        <v>105</v>
      </c>
      <c r="I271" s="6" t="s">
        <v>115</v>
      </c>
      <c r="J271" s="6" t="s">
        <v>123</v>
      </c>
      <c r="K271" s="6" t="s">
        <v>110</v>
      </c>
      <c r="L271" s="6">
        <v>6</v>
      </c>
      <c r="M271" s="6">
        <v>3967.1</v>
      </c>
      <c r="N271" s="6">
        <v>0</v>
      </c>
    </row>
    <row r="272" spans="1:14" x14ac:dyDescent="0.25">
      <c r="A272" s="6">
        <v>10328</v>
      </c>
      <c r="B272" s="6">
        <v>1348</v>
      </c>
      <c r="C272" s="11">
        <v>45245</v>
      </c>
      <c r="D272" s="11">
        <v>45250</v>
      </c>
      <c r="E272" s="6" t="s">
        <v>85</v>
      </c>
      <c r="F272" s="6" t="s">
        <v>117</v>
      </c>
      <c r="G272" s="6" t="s">
        <v>87</v>
      </c>
      <c r="H272" s="6" t="s">
        <v>88</v>
      </c>
      <c r="I272" s="6" t="s">
        <v>115</v>
      </c>
      <c r="J272" s="6" t="s">
        <v>116</v>
      </c>
      <c r="K272" s="6" t="s">
        <v>108</v>
      </c>
      <c r="L272" s="6">
        <v>2</v>
      </c>
      <c r="M272" s="6">
        <v>2948.33</v>
      </c>
      <c r="N272" s="6">
        <v>15</v>
      </c>
    </row>
    <row r="273" spans="1:14" x14ac:dyDescent="0.25">
      <c r="A273" s="6">
        <v>10329</v>
      </c>
      <c r="B273" s="6">
        <v>1770</v>
      </c>
      <c r="C273" s="11">
        <v>44975</v>
      </c>
      <c r="D273" s="11">
        <v>44976</v>
      </c>
      <c r="E273" s="6" t="s">
        <v>103</v>
      </c>
      <c r="F273" s="6" t="s">
        <v>101</v>
      </c>
      <c r="G273" s="6" t="s">
        <v>80</v>
      </c>
      <c r="H273" s="6" t="s">
        <v>107</v>
      </c>
      <c r="I273" s="6" t="s">
        <v>89</v>
      </c>
      <c r="J273" s="6" t="s">
        <v>90</v>
      </c>
      <c r="K273" s="6" t="s">
        <v>110</v>
      </c>
      <c r="L273" s="6">
        <v>1</v>
      </c>
      <c r="M273" s="6">
        <v>3171.36</v>
      </c>
      <c r="N273" s="6">
        <v>20</v>
      </c>
    </row>
    <row r="274" spans="1:14" x14ac:dyDescent="0.25">
      <c r="A274" s="6">
        <v>10330</v>
      </c>
      <c r="B274" s="6">
        <v>1659</v>
      </c>
      <c r="C274" s="11">
        <v>44958</v>
      </c>
      <c r="D274" s="11">
        <v>44966</v>
      </c>
      <c r="E274" s="6" t="s">
        <v>100</v>
      </c>
      <c r="F274" s="6" t="s">
        <v>117</v>
      </c>
      <c r="G274" s="6" t="s">
        <v>80</v>
      </c>
      <c r="H274" s="6" t="s">
        <v>107</v>
      </c>
      <c r="I274" s="6" t="s">
        <v>115</v>
      </c>
      <c r="J274" s="6" t="s">
        <v>127</v>
      </c>
      <c r="K274" s="6" t="s">
        <v>84</v>
      </c>
      <c r="L274" s="6">
        <v>7</v>
      </c>
      <c r="M274" s="6">
        <v>3978.5</v>
      </c>
      <c r="N274" s="6">
        <v>20</v>
      </c>
    </row>
    <row r="275" spans="1:14" x14ac:dyDescent="0.25">
      <c r="A275" s="6">
        <v>10332</v>
      </c>
      <c r="B275" s="6">
        <v>1954</v>
      </c>
      <c r="C275" s="11">
        <v>44946</v>
      </c>
      <c r="D275" s="11">
        <v>44955</v>
      </c>
      <c r="E275" s="6" t="s">
        <v>78</v>
      </c>
      <c r="F275" s="6" t="s">
        <v>86</v>
      </c>
      <c r="G275" s="6" t="s">
        <v>80</v>
      </c>
      <c r="H275" s="6" t="s">
        <v>105</v>
      </c>
      <c r="I275" s="6" t="s">
        <v>120</v>
      </c>
      <c r="J275" s="6" t="s">
        <v>129</v>
      </c>
      <c r="K275" s="6" t="s">
        <v>84</v>
      </c>
      <c r="L275" s="6">
        <v>2</v>
      </c>
      <c r="M275" s="6">
        <v>1335.36</v>
      </c>
      <c r="N275" s="6">
        <v>5</v>
      </c>
    </row>
    <row r="276" spans="1:14" x14ac:dyDescent="0.25">
      <c r="A276" s="6">
        <v>10336</v>
      </c>
      <c r="B276" s="6">
        <v>1962</v>
      </c>
      <c r="C276" s="11">
        <v>45069</v>
      </c>
      <c r="D276" s="11">
        <v>45072</v>
      </c>
      <c r="E276" s="6" t="s">
        <v>79</v>
      </c>
      <c r="F276" s="6" t="s">
        <v>104</v>
      </c>
      <c r="G276" s="6" t="s">
        <v>87</v>
      </c>
      <c r="H276" s="6" t="s">
        <v>105</v>
      </c>
      <c r="I276" s="6" t="s">
        <v>82</v>
      </c>
      <c r="J276" s="6" t="s">
        <v>132</v>
      </c>
      <c r="K276" s="6" t="s">
        <v>96</v>
      </c>
      <c r="L276" s="6">
        <v>1</v>
      </c>
      <c r="M276" s="6">
        <v>1126.5</v>
      </c>
      <c r="N276" s="6">
        <v>15</v>
      </c>
    </row>
    <row r="277" spans="1:14" x14ac:dyDescent="0.25">
      <c r="A277" s="6">
        <v>10338</v>
      </c>
      <c r="B277" s="6">
        <v>1146</v>
      </c>
      <c r="C277" s="11">
        <v>45139</v>
      </c>
      <c r="D277" s="11">
        <v>45145</v>
      </c>
      <c r="E277" s="6" t="s">
        <v>85</v>
      </c>
      <c r="F277" s="6" t="s">
        <v>92</v>
      </c>
      <c r="G277" s="6" t="s">
        <v>93</v>
      </c>
      <c r="H277" s="6" t="s">
        <v>105</v>
      </c>
      <c r="I277" s="6" t="s">
        <v>112</v>
      </c>
      <c r="J277" s="6" t="s">
        <v>113</v>
      </c>
      <c r="K277" s="6" t="s">
        <v>84</v>
      </c>
      <c r="L277" s="6">
        <v>3</v>
      </c>
      <c r="M277" s="6">
        <v>464.42</v>
      </c>
      <c r="N277" s="6">
        <v>20</v>
      </c>
    </row>
    <row r="278" spans="1:14" x14ac:dyDescent="0.25">
      <c r="A278" s="6">
        <v>10339</v>
      </c>
      <c r="B278" s="6">
        <v>1147</v>
      </c>
      <c r="C278" s="11">
        <v>45005</v>
      </c>
      <c r="D278" s="11">
        <v>45012</v>
      </c>
      <c r="E278" s="6" t="s">
        <v>78</v>
      </c>
      <c r="F278" s="6" t="s">
        <v>117</v>
      </c>
      <c r="G278" s="6" t="s">
        <v>80</v>
      </c>
      <c r="H278" s="6" t="s">
        <v>88</v>
      </c>
      <c r="I278" s="6" t="s">
        <v>94</v>
      </c>
      <c r="J278" s="6" t="s">
        <v>95</v>
      </c>
      <c r="K278" s="6" t="s">
        <v>84</v>
      </c>
      <c r="L278" s="6">
        <v>4</v>
      </c>
      <c r="M278" s="6">
        <v>3708.51</v>
      </c>
      <c r="N278" s="6">
        <v>5</v>
      </c>
    </row>
    <row r="279" spans="1:14" x14ac:dyDescent="0.25">
      <c r="A279" s="6">
        <v>10341</v>
      </c>
      <c r="B279" s="6">
        <v>1710</v>
      </c>
      <c r="C279" s="11">
        <v>45042</v>
      </c>
      <c r="D279" s="11">
        <v>45048</v>
      </c>
      <c r="E279" s="6" t="s">
        <v>79</v>
      </c>
      <c r="F279" s="6" t="s">
        <v>92</v>
      </c>
      <c r="G279" s="6" t="s">
        <v>80</v>
      </c>
      <c r="H279" s="6" t="s">
        <v>98</v>
      </c>
      <c r="I279" s="6" t="s">
        <v>112</v>
      </c>
      <c r="J279" s="6" t="s">
        <v>114</v>
      </c>
      <c r="K279" s="6" t="s">
        <v>91</v>
      </c>
      <c r="L279" s="6">
        <v>4</v>
      </c>
      <c r="M279" s="6">
        <v>641.92999999999995</v>
      </c>
      <c r="N279" s="6">
        <v>0</v>
      </c>
    </row>
    <row r="280" spans="1:14" x14ac:dyDescent="0.25">
      <c r="A280" s="6">
        <v>10342</v>
      </c>
      <c r="B280" s="6">
        <v>1819</v>
      </c>
      <c r="C280" s="11">
        <v>45018</v>
      </c>
      <c r="D280" s="11">
        <v>45019</v>
      </c>
      <c r="E280" s="6" t="s">
        <v>78</v>
      </c>
      <c r="F280" s="6" t="s">
        <v>117</v>
      </c>
      <c r="G280" s="6" t="s">
        <v>80</v>
      </c>
      <c r="H280" s="6" t="s">
        <v>98</v>
      </c>
      <c r="I280" s="6" t="s">
        <v>89</v>
      </c>
      <c r="J280" s="6" t="s">
        <v>90</v>
      </c>
      <c r="K280" s="6" t="s">
        <v>110</v>
      </c>
      <c r="L280" s="6">
        <v>5</v>
      </c>
      <c r="M280" s="6">
        <v>1853.11</v>
      </c>
      <c r="N280" s="6">
        <v>10</v>
      </c>
    </row>
    <row r="281" spans="1:14" x14ac:dyDescent="0.25">
      <c r="A281" s="6">
        <v>10343</v>
      </c>
      <c r="B281" s="6">
        <v>1488</v>
      </c>
      <c r="C281" s="11">
        <v>45196</v>
      </c>
      <c r="D281" s="11">
        <v>45204</v>
      </c>
      <c r="E281" s="6" t="s">
        <v>109</v>
      </c>
      <c r="F281" s="6" t="s">
        <v>86</v>
      </c>
      <c r="G281" s="6" t="s">
        <v>80</v>
      </c>
      <c r="H281" s="6" t="s">
        <v>81</v>
      </c>
      <c r="I281" s="6" t="s">
        <v>112</v>
      </c>
      <c r="J281" s="6" t="s">
        <v>114</v>
      </c>
      <c r="K281" s="6" t="s">
        <v>84</v>
      </c>
      <c r="L281" s="6">
        <v>7</v>
      </c>
      <c r="M281" s="6">
        <v>313.51</v>
      </c>
      <c r="N281" s="6">
        <v>0</v>
      </c>
    </row>
    <row r="282" spans="1:14" x14ac:dyDescent="0.25">
      <c r="A282" s="6">
        <v>10344</v>
      </c>
      <c r="B282" s="6">
        <v>1928</v>
      </c>
      <c r="C282" s="11">
        <v>45094</v>
      </c>
      <c r="D282" s="11">
        <v>45101</v>
      </c>
      <c r="E282" s="6" t="s">
        <v>85</v>
      </c>
      <c r="F282" s="6" t="s">
        <v>92</v>
      </c>
      <c r="G282" s="6" t="s">
        <v>93</v>
      </c>
      <c r="H282" s="6" t="s">
        <v>107</v>
      </c>
      <c r="I282" s="6" t="s">
        <v>115</v>
      </c>
      <c r="J282" s="6" t="s">
        <v>119</v>
      </c>
      <c r="K282" s="6" t="s">
        <v>96</v>
      </c>
      <c r="L282" s="6">
        <v>4</v>
      </c>
      <c r="M282" s="6">
        <v>2785.81</v>
      </c>
      <c r="N282" s="6">
        <v>20</v>
      </c>
    </row>
    <row r="283" spans="1:14" x14ac:dyDescent="0.25">
      <c r="A283" s="6">
        <v>10345</v>
      </c>
      <c r="B283" s="6">
        <v>1935</v>
      </c>
      <c r="C283" s="11">
        <v>44984</v>
      </c>
      <c r="D283" s="11">
        <v>44993</v>
      </c>
      <c r="E283" s="6" t="s">
        <v>97</v>
      </c>
      <c r="F283" s="6" t="s">
        <v>92</v>
      </c>
      <c r="G283" s="6" t="s">
        <v>93</v>
      </c>
      <c r="H283" s="6" t="s">
        <v>105</v>
      </c>
      <c r="I283" s="6" t="s">
        <v>89</v>
      </c>
      <c r="J283" s="6" t="s">
        <v>99</v>
      </c>
      <c r="K283" s="6" t="s">
        <v>108</v>
      </c>
      <c r="L283" s="6">
        <v>1</v>
      </c>
      <c r="M283" s="6">
        <v>3625.42</v>
      </c>
      <c r="N283" s="6">
        <v>10</v>
      </c>
    </row>
    <row r="284" spans="1:14" x14ac:dyDescent="0.25">
      <c r="A284" s="6">
        <v>10347</v>
      </c>
      <c r="B284" s="6">
        <v>1550</v>
      </c>
      <c r="C284" s="11">
        <v>44952</v>
      </c>
      <c r="D284" s="11">
        <v>44954</v>
      </c>
      <c r="E284" s="6" t="s">
        <v>78</v>
      </c>
      <c r="F284" s="6" t="s">
        <v>92</v>
      </c>
      <c r="G284" s="6" t="s">
        <v>87</v>
      </c>
      <c r="H284" s="6" t="s">
        <v>107</v>
      </c>
      <c r="I284" s="6" t="s">
        <v>82</v>
      </c>
      <c r="J284" s="6" t="s">
        <v>83</v>
      </c>
      <c r="K284" s="6" t="s">
        <v>108</v>
      </c>
      <c r="L284" s="6">
        <v>4</v>
      </c>
      <c r="M284" s="6">
        <v>640.37</v>
      </c>
      <c r="N284" s="6">
        <v>20</v>
      </c>
    </row>
    <row r="285" spans="1:14" x14ac:dyDescent="0.25">
      <c r="A285" s="6">
        <v>10350</v>
      </c>
      <c r="B285" s="6">
        <v>1640</v>
      </c>
      <c r="C285" s="11">
        <v>45180</v>
      </c>
      <c r="D285" s="11">
        <v>45185</v>
      </c>
      <c r="E285" s="6" t="s">
        <v>78</v>
      </c>
      <c r="F285" s="6" t="s">
        <v>104</v>
      </c>
      <c r="G285" s="6" t="s">
        <v>80</v>
      </c>
      <c r="H285" s="6" t="s">
        <v>107</v>
      </c>
      <c r="I285" s="6" t="s">
        <v>120</v>
      </c>
      <c r="J285" s="6" t="s">
        <v>125</v>
      </c>
      <c r="K285" s="6" t="s">
        <v>84</v>
      </c>
      <c r="L285" s="6">
        <v>1</v>
      </c>
      <c r="M285" s="6">
        <v>3708.38</v>
      </c>
      <c r="N285" s="6">
        <v>20</v>
      </c>
    </row>
    <row r="286" spans="1:14" x14ac:dyDescent="0.25">
      <c r="A286" s="6">
        <v>10351</v>
      </c>
      <c r="B286" s="6">
        <v>1778</v>
      </c>
      <c r="C286" s="11">
        <v>44970</v>
      </c>
      <c r="D286" s="11">
        <v>44972</v>
      </c>
      <c r="E286" s="6" t="s">
        <v>109</v>
      </c>
      <c r="F286" s="6" t="s">
        <v>79</v>
      </c>
      <c r="G286" s="6" t="s">
        <v>93</v>
      </c>
      <c r="H286" s="6" t="s">
        <v>98</v>
      </c>
      <c r="I286" s="6" t="s">
        <v>94</v>
      </c>
      <c r="J286" s="6" t="s">
        <v>95</v>
      </c>
      <c r="K286" s="6" t="s">
        <v>108</v>
      </c>
      <c r="L286" s="6">
        <v>3</v>
      </c>
      <c r="M286" s="6">
        <v>1923.58</v>
      </c>
      <c r="N286" s="6">
        <v>15</v>
      </c>
    </row>
    <row r="287" spans="1:14" x14ac:dyDescent="0.25">
      <c r="A287" s="6">
        <v>10352</v>
      </c>
      <c r="B287" s="6">
        <v>1987</v>
      </c>
      <c r="C287" s="11">
        <v>45023</v>
      </c>
      <c r="D287" s="11">
        <v>45026</v>
      </c>
      <c r="E287" s="6" t="s">
        <v>109</v>
      </c>
      <c r="F287" s="6" t="s">
        <v>86</v>
      </c>
      <c r="G287" s="6" t="s">
        <v>93</v>
      </c>
      <c r="H287" s="6" t="s">
        <v>81</v>
      </c>
      <c r="I287" s="6" t="s">
        <v>89</v>
      </c>
      <c r="J287" s="6" t="s">
        <v>99</v>
      </c>
      <c r="K287" s="6" t="s">
        <v>108</v>
      </c>
      <c r="L287" s="6">
        <v>2</v>
      </c>
      <c r="M287" s="6">
        <v>2071.04</v>
      </c>
      <c r="N287" s="6">
        <v>20</v>
      </c>
    </row>
    <row r="288" spans="1:14" x14ac:dyDescent="0.25">
      <c r="A288" s="6">
        <v>10355</v>
      </c>
      <c r="B288" s="6">
        <v>1945</v>
      </c>
      <c r="C288" s="11">
        <v>45188</v>
      </c>
      <c r="D288" s="11">
        <v>45191</v>
      </c>
      <c r="E288" s="6" t="s">
        <v>100</v>
      </c>
      <c r="F288" s="6" t="s">
        <v>86</v>
      </c>
      <c r="G288" s="6" t="s">
        <v>93</v>
      </c>
      <c r="H288" s="6" t="s">
        <v>98</v>
      </c>
      <c r="I288" s="6" t="s">
        <v>115</v>
      </c>
      <c r="J288" s="6" t="s">
        <v>116</v>
      </c>
      <c r="K288" s="6" t="s">
        <v>84</v>
      </c>
      <c r="L288" s="6">
        <v>9</v>
      </c>
      <c r="M288" s="6">
        <v>2632.88</v>
      </c>
      <c r="N288" s="6">
        <v>5</v>
      </c>
    </row>
    <row r="289" spans="1:14" x14ac:dyDescent="0.25">
      <c r="A289" s="6">
        <v>10356</v>
      </c>
      <c r="B289" s="6">
        <v>1150</v>
      </c>
      <c r="C289" s="11">
        <v>45093</v>
      </c>
      <c r="D289" s="11">
        <v>45102</v>
      </c>
      <c r="E289" s="6" t="s">
        <v>79</v>
      </c>
      <c r="F289" s="6" t="s">
        <v>101</v>
      </c>
      <c r="G289" s="6" t="s">
        <v>93</v>
      </c>
      <c r="H289" s="6" t="s">
        <v>105</v>
      </c>
      <c r="I289" s="6" t="s">
        <v>94</v>
      </c>
      <c r="J289" s="6" t="s">
        <v>111</v>
      </c>
      <c r="K289" s="6" t="s">
        <v>84</v>
      </c>
      <c r="L289" s="6">
        <v>9</v>
      </c>
      <c r="M289" s="6">
        <v>1259.77</v>
      </c>
      <c r="N289" s="6">
        <v>15</v>
      </c>
    </row>
    <row r="290" spans="1:14" x14ac:dyDescent="0.25">
      <c r="A290" s="6">
        <v>10357</v>
      </c>
      <c r="B290" s="6">
        <v>1414</v>
      </c>
      <c r="C290" s="11">
        <v>45205</v>
      </c>
      <c r="D290" s="11">
        <v>45213</v>
      </c>
      <c r="E290" s="6" t="s">
        <v>100</v>
      </c>
      <c r="F290" s="6" t="s">
        <v>101</v>
      </c>
      <c r="G290" s="6" t="s">
        <v>80</v>
      </c>
      <c r="H290" s="6" t="s">
        <v>88</v>
      </c>
      <c r="I290" s="6" t="s">
        <v>120</v>
      </c>
      <c r="J290" s="6" t="s">
        <v>121</v>
      </c>
      <c r="K290" s="6" t="s">
        <v>91</v>
      </c>
      <c r="L290" s="6">
        <v>8</v>
      </c>
      <c r="M290" s="6">
        <v>1300.31</v>
      </c>
      <c r="N290" s="6">
        <v>0</v>
      </c>
    </row>
    <row r="291" spans="1:14" x14ac:dyDescent="0.25">
      <c r="A291" s="6">
        <v>10358</v>
      </c>
      <c r="B291" s="6">
        <v>1989</v>
      </c>
      <c r="C291" s="11">
        <v>45015</v>
      </c>
      <c r="D291" s="11">
        <v>45019</v>
      </c>
      <c r="E291" s="6" t="s">
        <v>78</v>
      </c>
      <c r="F291" s="6" t="s">
        <v>92</v>
      </c>
      <c r="G291" s="6" t="s">
        <v>93</v>
      </c>
      <c r="H291" s="6" t="s">
        <v>98</v>
      </c>
      <c r="I291" s="6" t="s">
        <v>120</v>
      </c>
      <c r="J291" s="6" t="s">
        <v>121</v>
      </c>
      <c r="K291" s="6" t="s">
        <v>96</v>
      </c>
      <c r="L291" s="6">
        <v>8</v>
      </c>
      <c r="M291" s="6">
        <v>3581.12</v>
      </c>
      <c r="N291" s="6">
        <v>15</v>
      </c>
    </row>
    <row r="292" spans="1:14" x14ac:dyDescent="0.25">
      <c r="A292" s="6">
        <v>10359</v>
      </c>
      <c r="B292" s="6">
        <v>1297</v>
      </c>
      <c r="C292" s="11">
        <v>45104</v>
      </c>
      <c r="D292" s="11">
        <v>45105</v>
      </c>
      <c r="E292" s="6" t="s">
        <v>79</v>
      </c>
      <c r="F292" s="6" t="s">
        <v>104</v>
      </c>
      <c r="G292" s="6" t="s">
        <v>80</v>
      </c>
      <c r="H292" s="6" t="s">
        <v>88</v>
      </c>
      <c r="I292" s="6" t="s">
        <v>94</v>
      </c>
      <c r="J292" s="6" t="s">
        <v>111</v>
      </c>
      <c r="K292" s="6" t="s">
        <v>110</v>
      </c>
      <c r="L292" s="6">
        <v>1</v>
      </c>
      <c r="M292" s="6">
        <v>202.49</v>
      </c>
      <c r="N292" s="6">
        <v>5</v>
      </c>
    </row>
    <row r="293" spans="1:14" x14ac:dyDescent="0.25">
      <c r="A293" s="6">
        <v>10360</v>
      </c>
      <c r="B293" s="6">
        <v>1610</v>
      </c>
      <c r="C293" s="11">
        <v>45123</v>
      </c>
      <c r="D293" s="11">
        <v>45124</v>
      </c>
      <c r="E293" s="6" t="s">
        <v>97</v>
      </c>
      <c r="F293" s="6" t="s">
        <v>104</v>
      </c>
      <c r="G293" s="6" t="s">
        <v>93</v>
      </c>
      <c r="H293" s="6" t="s">
        <v>105</v>
      </c>
      <c r="I293" s="6" t="s">
        <v>94</v>
      </c>
      <c r="J293" s="6" t="s">
        <v>95</v>
      </c>
      <c r="K293" s="6" t="s">
        <v>108</v>
      </c>
      <c r="L293" s="6">
        <v>8</v>
      </c>
      <c r="M293" s="6">
        <v>1392.5</v>
      </c>
      <c r="N293" s="6">
        <v>15</v>
      </c>
    </row>
    <row r="294" spans="1:14" x14ac:dyDescent="0.25">
      <c r="A294" s="6">
        <v>10361</v>
      </c>
      <c r="B294" s="6">
        <v>1262</v>
      </c>
      <c r="C294" s="11">
        <v>45233</v>
      </c>
      <c r="D294" s="11">
        <v>45234</v>
      </c>
      <c r="E294" s="6" t="s">
        <v>97</v>
      </c>
      <c r="F294" s="6" t="s">
        <v>86</v>
      </c>
      <c r="G294" s="6" t="s">
        <v>87</v>
      </c>
      <c r="H294" s="6" t="s">
        <v>107</v>
      </c>
      <c r="I294" s="6" t="s">
        <v>120</v>
      </c>
      <c r="J294" s="6" t="s">
        <v>122</v>
      </c>
      <c r="K294" s="6" t="s">
        <v>84</v>
      </c>
      <c r="L294" s="6">
        <v>3</v>
      </c>
      <c r="M294" s="6">
        <v>2284.27</v>
      </c>
      <c r="N294" s="6">
        <v>20</v>
      </c>
    </row>
    <row r="295" spans="1:14" x14ac:dyDescent="0.25">
      <c r="A295" s="6">
        <v>10365</v>
      </c>
      <c r="B295" s="6">
        <v>1623</v>
      </c>
      <c r="C295" s="11">
        <v>44934</v>
      </c>
      <c r="D295" s="11">
        <v>44940</v>
      </c>
      <c r="E295" s="6" t="s">
        <v>79</v>
      </c>
      <c r="F295" s="6" t="s">
        <v>104</v>
      </c>
      <c r="G295" s="6" t="s">
        <v>80</v>
      </c>
      <c r="H295" s="6" t="s">
        <v>98</v>
      </c>
      <c r="I295" s="6" t="s">
        <v>115</v>
      </c>
      <c r="J295" s="6" t="s">
        <v>116</v>
      </c>
      <c r="K295" s="6" t="s">
        <v>96</v>
      </c>
      <c r="L295" s="6">
        <v>5</v>
      </c>
      <c r="M295" s="6">
        <v>3593.46</v>
      </c>
      <c r="N295" s="6">
        <v>20</v>
      </c>
    </row>
    <row r="296" spans="1:14" x14ac:dyDescent="0.25">
      <c r="A296" s="6">
        <v>10366</v>
      </c>
      <c r="B296" s="6">
        <v>1571</v>
      </c>
      <c r="C296" s="11">
        <v>45223</v>
      </c>
      <c r="D296" s="11">
        <v>45226</v>
      </c>
      <c r="E296" s="6" t="s">
        <v>78</v>
      </c>
      <c r="F296" s="6" t="s">
        <v>79</v>
      </c>
      <c r="G296" s="6" t="s">
        <v>87</v>
      </c>
      <c r="H296" s="6" t="s">
        <v>105</v>
      </c>
      <c r="I296" s="6" t="s">
        <v>112</v>
      </c>
      <c r="J296" s="6" t="s">
        <v>126</v>
      </c>
      <c r="K296" s="6" t="s">
        <v>84</v>
      </c>
      <c r="L296" s="6">
        <v>5</v>
      </c>
      <c r="M296" s="6">
        <v>3320.88</v>
      </c>
      <c r="N296" s="6">
        <v>0</v>
      </c>
    </row>
    <row r="297" spans="1:14" x14ac:dyDescent="0.25">
      <c r="A297" s="6">
        <v>10367</v>
      </c>
      <c r="B297" s="6">
        <v>1880</v>
      </c>
      <c r="C297" s="11">
        <v>45090</v>
      </c>
      <c r="D297" s="11">
        <v>45095</v>
      </c>
      <c r="E297" s="6" t="s">
        <v>109</v>
      </c>
      <c r="F297" s="6" t="s">
        <v>104</v>
      </c>
      <c r="G297" s="6" t="s">
        <v>93</v>
      </c>
      <c r="H297" s="6" t="s">
        <v>98</v>
      </c>
      <c r="I297" s="6" t="s">
        <v>120</v>
      </c>
      <c r="J297" s="6" t="s">
        <v>125</v>
      </c>
      <c r="K297" s="6" t="s">
        <v>108</v>
      </c>
      <c r="L297" s="6">
        <v>8</v>
      </c>
      <c r="M297" s="6">
        <v>3610.33</v>
      </c>
      <c r="N297" s="6">
        <v>5</v>
      </c>
    </row>
    <row r="298" spans="1:14" x14ac:dyDescent="0.25">
      <c r="A298" s="6">
        <v>10369</v>
      </c>
      <c r="B298" s="6">
        <v>1896</v>
      </c>
      <c r="C298" s="11">
        <v>44998</v>
      </c>
      <c r="D298" s="11">
        <v>45000</v>
      </c>
      <c r="E298" s="6" t="s">
        <v>85</v>
      </c>
      <c r="F298" s="6" t="s">
        <v>86</v>
      </c>
      <c r="G298" s="6" t="s">
        <v>80</v>
      </c>
      <c r="H298" s="6" t="s">
        <v>98</v>
      </c>
      <c r="I298" s="6" t="s">
        <v>89</v>
      </c>
      <c r="J298" s="6" t="s">
        <v>99</v>
      </c>
      <c r="K298" s="6" t="s">
        <v>110</v>
      </c>
      <c r="L298" s="6">
        <v>8</v>
      </c>
      <c r="M298" s="6">
        <v>3277.19</v>
      </c>
      <c r="N298" s="6">
        <v>15</v>
      </c>
    </row>
    <row r="299" spans="1:14" x14ac:dyDescent="0.25">
      <c r="A299" s="6">
        <v>10370</v>
      </c>
      <c r="B299" s="6">
        <v>1303</v>
      </c>
      <c r="C299" s="11">
        <v>44981</v>
      </c>
      <c r="D299" s="11">
        <v>44987</v>
      </c>
      <c r="E299" s="6" t="s">
        <v>85</v>
      </c>
      <c r="F299" s="6" t="s">
        <v>104</v>
      </c>
      <c r="G299" s="6" t="s">
        <v>93</v>
      </c>
      <c r="H299" s="6" t="s">
        <v>81</v>
      </c>
      <c r="I299" s="6" t="s">
        <v>112</v>
      </c>
      <c r="J299" s="6" t="s">
        <v>126</v>
      </c>
      <c r="K299" s="6" t="s">
        <v>91</v>
      </c>
      <c r="L299" s="6">
        <v>6</v>
      </c>
      <c r="M299" s="6">
        <v>1628.56</v>
      </c>
      <c r="N299" s="6">
        <v>0</v>
      </c>
    </row>
    <row r="300" spans="1:14" x14ac:dyDescent="0.25">
      <c r="A300" s="6">
        <v>10371</v>
      </c>
      <c r="B300" s="6">
        <v>1253</v>
      </c>
      <c r="C300" s="11">
        <v>44973</v>
      </c>
      <c r="D300" s="11">
        <v>44979</v>
      </c>
      <c r="E300" s="6" t="s">
        <v>97</v>
      </c>
      <c r="F300" s="6" t="s">
        <v>104</v>
      </c>
      <c r="G300" s="6" t="s">
        <v>80</v>
      </c>
      <c r="H300" s="6" t="s">
        <v>81</v>
      </c>
      <c r="I300" s="6" t="s">
        <v>112</v>
      </c>
      <c r="J300" s="6" t="s">
        <v>130</v>
      </c>
      <c r="K300" s="6" t="s">
        <v>110</v>
      </c>
      <c r="L300" s="6">
        <v>6</v>
      </c>
      <c r="M300" s="6">
        <v>2715.13</v>
      </c>
      <c r="N300" s="6">
        <v>20</v>
      </c>
    </row>
    <row r="301" spans="1:14" x14ac:dyDescent="0.25">
      <c r="A301" s="6">
        <v>10372</v>
      </c>
      <c r="B301" s="6">
        <v>1651</v>
      </c>
      <c r="C301" s="11">
        <v>45164</v>
      </c>
      <c r="D301" s="11">
        <v>45167</v>
      </c>
      <c r="E301" s="6" t="s">
        <v>79</v>
      </c>
      <c r="F301" s="6" t="s">
        <v>86</v>
      </c>
      <c r="G301" s="6" t="s">
        <v>87</v>
      </c>
      <c r="H301" s="6" t="s">
        <v>98</v>
      </c>
      <c r="I301" s="6" t="s">
        <v>112</v>
      </c>
      <c r="J301" s="6" t="s">
        <v>126</v>
      </c>
      <c r="K301" s="6" t="s">
        <v>84</v>
      </c>
      <c r="L301" s="6">
        <v>2</v>
      </c>
      <c r="M301" s="6">
        <v>3957.02</v>
      </c>
      <c r="N301" s="6">
        <v>5</v>
      </c>
    </row>
    <row r="302" spans="1:14" x14ac:dyDescent="0.25">
      <c r="A302" s="6">
        <v>10373</v>
      </c>
      <c r="B302" s="6">
        <v>1452</v>
      </c>
      <c r="C302" s="11">
        <v>45030</v>
      </c>
      <c r="D302" s="11">
        <v>45036</v>
      </c>
      <c r="E302" s="6" t="s">
        <v>85</v>
      </c>
      <c r="F302" s="6" t="s">
        <v>79</v>
      </c>
      <c r="G302" s="6" t="s">
        <v>87</v>
      </c>
      <c r="H302" s="6" t="s">
        <v>81</v>
      </c>
      <c r="I302" s="6" t="s">
        <v>115</v>
      </c>
      <c r="J302" s="6" t="s">
        <v>116</v>
      </c>
      <c r="K302" s="6" t="s">
        <v>84</v>
      </c>
      <c r="L302" s="6">
        <v>6</v>
      </c>
      <c r="M302" s="6">
        <v>1019.05</v>
      </c>
      <c r="N302" s="6">
        <v>0</v>
      </c>
    </row>
    <row r="303" spans="1:14" x14ac:dyDescent="0.25">
      <c r="A303" s="6">
        <v>10374</v>
      </c>
      <c r="B303" s="6">
        <v>1036</v>
      </c>
      <c r="C303" s="11">
        <v>45136</v>
      </c>
      <c r="D303" s="11">
        <v>45141</v>
      </c>
      <c r="E303" s="6" t="s">
        <v>100</v>
      </c>
      <c r="F303" s="6" t="s">
        <v>79</v>
      </c>
      <c r="G303" s="6" t="s">
        <v>80</v>
      </c>
      <c r="H303" s="6" t="s">
        <v>105</v>
      </c>
      <c r="I303" s="6" t="s">
        <v>120</v>
      </c>
      <c r="J303" s="6" t="s">
        <v>121</v>
      </c>
      <c r="K303" s="6" t="s">
        <v>96</v>
      </c>
      <c r="L303" s="6">
        <v>5</v>
      </c>
      <c r="M303" s="6">
        <v>1651.11</v>
      </c>
      <c r="N303" s="6">
        <v>20</v>
      </c>
    </row>
    <row r="304" spans="1:14" x14ac:dyDescent="0.25">
      <c r="A304" s="6">
        <v>10376</v>
      </c>
      <c r="B304" s="6">
        <v>1008</v>
      </c>
      <c r="C304" s="11">
        <v>45242</v>
      </c>
      <c r="D304" s="11">
        <v>45251</v>
      </c>
      <c r="E304" s="6" t="s">
        <v>100</v>
      </c>
      <c r="F304" s="6" t="s">
        <v>117</v>
      </c>
      <c r="G304" s="6" t="s">
        <v>93</v>
      </c>
      <c r="H304" s="6" t="s">
        <v>81</v>
      </c>
      <c r="I304" s="6" t="s">
        <v>120</v>
      </c>
      <c r="J304" s="6" t="s">
        <v>122</v>
      </c>
      <c r="K304" s="6" t="s">
        <v>108</v>
      </c>
      <c r="L304" s="6">
        <v>6</v>
      </c>
      <c r="M304" s="6">
        <v>681.36</v>
      </c>
      <c r="N304" s="6">
        <v>15</v>
      </c>
    </row>
    <row r="305" spans="1:14" x14ac:dyDescent="0.25">
      <c r="A305" s="6">
        <v>10379</v>
      </c>
      <c r="B305" s="6">
        <v>1658</v>
      </c>
      <c r="C305" s="11">
        <v>45262</v>
      </c>
      <c r="D305" s="11">
        <v>45270</v>
      </c>
      <c r="E305" s="6" t="s">
        <v>78</v>
      </c>
      <c r="F305" s="6" t="s">
        <v>79</v>
      </c>
      <c r="G305" s="6" t="s">
        <v>87</v>
      </c>
      <c r="H305" s="6" t="s">
        <v>98</v>
      </c>
      <c r="I305" s="6" t="s">
        <v>89</v>
      </c>
      <c r="J305" s="6" t="s">
        <v>131</v>
      </c>
      <c r="K305" s="6" t="s">
        <v>108</v>
      </c>
      <c r="L305" s="6">
        <v>1</v>
      </c>
      <c r="M305" s="6">
        <v>3910.66</v>
      </c>
      <c r="N305" s="6">
        <v>5</v>
      </c>
    </row>
    <row r="306" spans="1:14" x14ac:dyDescent="0.25">
      <c r="A306" s="6">
        <v>10381</v>
      </c>
      <c r="B306" s="6">
        <v>1207</v>
      </c>
      <c r="C306" s="11">
        <v>45185</v>
      </c>
      <c r="D306" s="11">
        <v>45188</v>
      </c>
      <c r="E306" s="6" t="s">
        <v>79</v>
      </c>
      <c r="F306" s="6" t="s">
        <v>86</v>
      </c>
      <c r="G306" s="6" t="s">
        <v>87</v>
      </c>
      <c r="H306" s="6" t="s">
        <v>107</v>
      </c>
      <c r="I306" s="6" t="s">
        <v>115</v>
      </c>
      <c r="J306" s="6" t="s">
        <v>119</v>
      </c>
      <c r="K306" s="6" t="s">
        <v>110</v>
      </c>
      <c r="L306" s="6">
        <v>3</v>
      </c>
      <c r="M306" s="6">
        <v>487.45</v>
      </c>
      <c r="N306" s="6">
        <v>5</v>
      </c>
    </row>
    <row r="307" spans="1:14" x14ac:dyDescent="0.25">
      <c r="A307" s="6">
        <v>10383</v>
      </c>
      <c r="B307" s="6">
        <v>1403</v>
      </c>
      <c r="C307" s="11">
        <v>45040</v>
      </c>
      <c r="D307" s="11">
        <v>45042</v>
      </c>
      <c r="E307" s="6" t="s">
        <v>100</v>
      </c>
      <c r="F307" s="6" t="s">
        <v>86</v>
      </c>
      <c r="G307" s="6" t="s">
        <v>87</v>
      </c>
      <c r="H307" s="6" t="s">
        <v>105</v>
      </c>
      <c r="I307" s="6" t="s">
        <v>94</v>
      </c>
      <c r="J307" s="6" t="s">
        <v>111</v>
      </c>
      <c r="K307" s="6" t="s">
        <v>96</v>
      </c>
      <c r="L307" s="6">
        <v>1</v>
      </c>
      <c r="M307" s="6">
        <v>3581.58</v>
      </c>
      <c r="N307" s="6">
        <v>15</v>
      </c>
    </row>
    <row r="308" spans="1:14" x14ac:dyDescent="0.25">
      <c r="A308" s="6">
        <v>10384</v>
      </c>
      <c r="B308" s="6">
        <v>1151</v>
      </c>
      <c r="C308" s="11">
        <v>45289</v>
      </c>
      <c r="D308" s="11">
        <v>45297</v>
      </c>
      <c r="E308" s="6" t="s">
        <v>85</v>
      </c>
      <c r="F308" s="6" t="s">
        <v>79</v>
      </c>
      <c r="G308" s="6" t="s">
        <v>87</v>
      </c>
      <c r="H308" s="6" t="s">
        <v>105</v>
      </c>
      <c r="I308" s="6" t="s">
        <v>82</v>
      </c>
      <c r="J308" s="6" t="s">
        <v>118</v>
      </c>
      <c r="K308" s="6" t="s">
        <v>91</v>
      </c>
      <c r="L308" s="6">
        <v>5</v>
      </c>
      <c r="M308" s="6">
        <v>1935.68</v>
      </c>
      <c r="N308" s="6">
        <v>20</v>
      </c>
    </row>
    <row r="309" spans="1:14" x14ac:dyDescent="0.25">
      <c r="A309" s="6">
        <v>10385</v>
      </c>
      <c r="B309" s="6">
        <v>1053</v>
      </c>
      <c r="C309" s="11">
        <v>44966</v>
      </c>
      <c r="D309" s="11">
        <v>44967</v>
      </c>
      <c r="E309" s="6" t="s">
        <v>79</v>
      </c>
      <c r="F309" s="6" t="s">
        <v>86</v>
      </c>
      <c r="G309" s="6" t="s">
        <v>87</v>
      </c>
      <c r="H309" s="6" t="s">
        <v>105</v>
      </c>
      <c r="I309" s="6" t="s">
        <v>115</v>
      </c>
      <c r="J309" s="6" t="s">
        <v>127</v>
      </c>
      <c r="K309" s="6" t="s">
        <v>96</v>
      </c>
      <c r="L309" s="6">
        <v>3</v>
      </c>
      <c r="M309" s="6">
        <v>1382.11</v>
      </c>
      <c r="N309" s="6">
        <v>10</v>
      </c>
    </row>
    <row r="310" spans="1:14" x14ac:dyDescent="0.25">
      <c r="A310" s="6">
        <v>10386</v>
      </c>
      <c r="B310" s="6">
        <v>1119</v>
      </c>
      <c r="C310" s="11">
        <v>45146</v>
      </c>
      <c r="D310" s="11">
        <v>45154</v>
      </c>
      <c r="E310" s="6" t="s">
        <v>78</v>
      </c>
      <c r="F310" s="6" t="s">
        <v>86</v>
      </c>
      <c r="G310" s="6" t="s">
        <v>87</v>
      </c>
      <c r="H310" s="6" t="s">
        <v>107</v>
      </c>
      <c r="I310" s="6" t="s">
        <v>112</v>
      </c>
      <c r="J310" s="6" t="s">
        <v>130</v>
      </c>
      <c r="K310" s="6" t="s">
        <v>91</v>
      </c>
      <c r="L310" s="6">
        <v>2</v>
      </c>
      <c r="M310" s="6">
        <v>1984.38</v>
      </c>
      <c r="N310" s="6">
        <v>10</v>
      </c>
    </row>
    <row r="311" spans="1:14" x14ac:dyDescent="0.25">
      <c r="A311" s="6">
        <v>10387</v>
      </c>
      <c r="B311" s="6">
        <v>1672</v>
      </c>
      <c r="C311" s="11">
        <v>45055</v>
      </c>
      <c r="D311" s="11">
        <v>45062</v>
      </c>
      <c r="E311" s="6" t="s">
        <v>109</v>
      </c>
      <c r="F311" s="6" t="s">
        <v>92</v>
      </c>
      <c r="G311" s="6" t="s">
        <v>87</v>
      </c>
      <c r="H311" s="6" t="s">
        <v>105</v>
      </c>
      <c r="I311" s="6" t="s">
        <v>94</v>
      </c>
      <c r="J311" s="6" t="s">
        <v>95</v>
      </c>
      <c r="K311" s="6" t="s">
        <v>96</v>
      </c>
      <c r="L311" s="6">
        <v>8</v>
      </c>
      <c r="M311" s="6">
        <v>1375.47</v>
      </c>
      <c r="N311" s="6">
        <v>15</v>
      </c>
    </row>
    <row r="312" spans="1:14" x14ac:dyDescent="0.25">
      <c r="A312" s="6">
        <v>10388</v>
      </c>
      <c r="B312" s="6">
        <v>1919</v>
      </c>
      <c r="C312" s="11">
        <v>44934</v>
      </c>
      <c r="D312" s="11">
        <v>44941</v>
      </c>
      <c r="E312" s="6" t="s">
        <v>85</v>
      </c>
      <c r="F312" s="6" t="s">
        <v>117</v>
      </c>
      <c r="G312" s="6" t="s">
        <v>93</v>
      </c>
      <c r="H312" s="6" t="s">
        <v>81</v>
      </c>
      <c r="I312" s="6" t="s">
        <v>94</v>
      </c>
      <c r="J312" s="6" t="s">
        <v>102</v>
      </c>
      <c r="K312" s="6" t="s">
        <v>96</v>
      </c>
      <c r="L312" s="6">
        <v>3</v>
      </c>
      <c r="M312" s="6">
        <v>2032.79</v>
      </c>
      <c r="N312" s="6">
        <v>10</v>
      </c>
    </row>
    <row r="313" spans="1:14" x14ac:dyDescent="0.25">
      <c r="A313" s="6">
        <v>10390</v>
      </c>
      <c r="B313" s="6">
        <v>1586</v>
      </c>
      <c r="C313" s="11">
        <v>45102</v>
      </c>
      <c r="D313" s="11">
        <v>45103</v>
      </c>
      <c r="E313" s="6" t="s">
        <v>103</v>
      </c>
      <c r="F313" s="6" t="s">
        <v>117</v>
      </c>
      <c r="G313" s="6" t="s">
        <v>87</v>
      </c>
      <c r="H313" s="6" t="s">
        <v>98</v>
      </c>
      <c r="I313" s="6" t="s">
        <v>94</v>
      </c>
      <c r="J313" s="6" t="s">
        <v>111</v>
      </c>
      <c r="K313" s="6" t="s">
        <v>110</v>
      </c>
      <c r="L313" s="6">
        <v>1</v>
      </c>
      <c r="M313" s="6">
        <v>2430.36</v>
      </c>
      <c r="N313" s="6">
        <v>15</v>
      </c>
    </row>
    <row r="314" spans="1:14" x14ac:dyDescent="0.25">
      <c r="A314" s="6">
        <v>10392</v>
      </c>
      <c r="B314" s="6">
        <v>1967</v>
      </c>
      <c r="C314" s="11">
        <v>45027</v>
      </c>
      <c r="D314" s="11">
        <v>45036</v>
      </c>
      <c r="E314" s="6" t="s">
        <v>85</v>
      </c>
      <c r="F314" s="6" t="s">
        <v>101</v>
      </c>
      <c r="G314" s="6" t="s">
        <v>87</v>
      </c>
      <c r="H314" s="6" t="s">
        <v>88</v>
      </c>
      <c r="I314" s="6" t="s">
        <v>115</v>
      </c>
      <c r="J314" s="6" t="s">
        <v>123</v>
      </c>
      <c r="K314" s="6" t="s">
        <v>96</v>
      </c>
      <c r="L314" s="6">
        <v>3</v>
      </c>
      <c r="M314" s="6">
        <v>1553.98</v>
      </c>
      <c r="N314" s="6">
        <v>15</v>
      </c>
    </row>
    <row r="315" spans="1:14" x14ac:dyDescent="0.25">
      <c r="A315" s="6">
        <v>10393</v>
      </c>
      <c r="B315" s="6">
        <v>1419</v>
      </c>
      <c r="C315" s="11">
        <v>45186</v>
      </c>
      <c r="D315" s="11">
        <v>45191</v>
      </c>
      <c r="E315" s="6" t="s">
        <v>103</v>
      </c>
      <c r="F315" s="6" t="s">
        <v>86</v>
      </c>
      <c r="G315" s="6" t="s">
        <v>87</v>
      </c>
      <c r="H315" s="6" t="s">
        <v>98</v>
      </c>
      <c r="I315" s="6" t="s">
        <v>115</v>
      </c>
      <c r="J315" s="6" t="s">
        <v>123</v>
      </c>
      <c r="K315" s="6" t="s">
        <v>108</v>
      </c>
      <c r="L315" s="6">
        <v>8</v>
      </c>
      <c r="M315" s="6">
        <v>2993.25</v>
      </c>
      <c r="N315" s="6">
        <v>10</v>
      </c>
    </row>
    <row r="316" spans="1:14" x14ac:dyDescent="0.25">
      <c r="A316" s="6">
        <v>10394</v>
      </c>
      <c r="B316" s="6">
        <v>1421</v>
      </c>
      <c r="C316" s="11">
        <v>45172</v>
      </c>
      <c r="D316" s="11">
        <v>45173</v>
      </c>
      <c r="E316" s="6" t="s">
        <v>85</v>
      </c>
      <c r="F316" s="6" t="s">
        <v>92</v>
      </c>
      <c r="G316" s="6" t="s">
        <v>80</v>
      </c>
      <c r="H316" s="6" t="s">
        <v>81</v>
      </c>
      <c r="I316" s="6" t="s">
        <v>112</v>
      </c>
      <c r="J316" s="6" t="s">
        <v>113</v>
      </c>
      <c r="K316" s="6" t="s">
        <v>110</v>
      </c>
      <c r="L316" s="6">
        <v>6</v>
      </c>
      <c r="M316" s="6">
        <v>2716.48</v>
      </c>
      <c r="N316" s="6">
        <v>0</v>
      </c>
    </row>
    <row r="317" spans="1:14" x14ac:dyDescent="0.25">
      <c r="A317" s="6">
        <v>10395</v>
      </c>
      <c r="B317" s="6">
        <v>1103</v>
      </c>
      <c r="C317" s="11">
        <v>45201</v>
      </c>
      <c r="D317" s="11">
        <v>45206</v>
      </c>
      <c r="E317" s="6" t="s">
        <v>79</v>
      </c>
      <c r="F317" s="6" t="s">
        <v>86</v>
      </c>
      <c r="G317" s="6" t="s">
        <v>87</v>
      </c>
      <c r="H317" s="6" t="s">
        <v>107</v>
      </c>
      <c r="I317" s="6" t="s">
        <v>89</v>
      </c>
      <c r="J317" s="6" t="s">
        <v>99</v>
      </c>
      <c r="K317" s="6" t="s">
        <v>108</v>
      </c>
      <c r="L317" s="6">
        <v>2</v>
      </c>
      <c r="M317" s="6">
        <v>610.30999999999995</v>
      </c>
      <c r="N317" s="6">
        <v>10</v>
      </c>
    </row>
    <row r="318" spans="1:14" x14ac:dyDescent="0.25">
      <c r="A318" s="6">
        <v>10396</v>
      </c>
      <c r="B318" s="6">
        <v>1851</v>
      </c>
      <c r="C318" s="11">
        <v>44958</v>
      </c>
      <c r="D318" s="11">
        <v>44966</v>
      </c>
      <c r="E318" s="6" t="s">
        <v>109</v>
      </c>
      <c r="F318" s="6" t="s">
        <v>79</v>
      </c>
      <c r="G318" s="6" t="s">
        <v>93</v>
      </c>
      <c r="H318" s="6" t="s">
        <v>107</v>
      </c>
      <c r="I318" s="6" t="s">
        <v>112</v>
      </c>
      <c r="J318" s="6" t="s">
        <v>114</v>
      </c>
      <c r="K318" s="6" t="s">
        <v>110</v>
      </c>
      <c r="L318" s="6">
        <v>6</v>
      </c>
      <c r="M318" s="6">
        <v>2354.67</v>
      </c>
      <c r="N318" s="6">
        <v>15</v>
      </c>
    </row>
    <row r="319" spans="1:14" x14ac:dyDescent="0.25">
      <c r="A319" s="6">
        <v>10398</v>
      </c>
      <c r="B319" s="6">
        <v>1226</v>
      </c>
      <c r="C319" s="11">
        <v>44938</v>
      </c>
      <c r="D319" s="11">
        <v>44943</v>
      </c>
      <c r="E319" s="6" t="s">
        <v>85</v>
      </c>
      <c r="F319" s="6" t="s">
        <v>92</v>
      </c>
      <c r="G319" s="6" t="s">
        <v>80</v>
      </c>
      <c r="H319" s="6" t="s">
        <v>107</v>
      </c>
      <c r="I319" s="6" t="s">
        <v>112</v>
      </c>
      <c r="J319" s="6" t="s">
        <v>126</v>
      </c>
      <c r="K319" s="6" t="s">
        <v>96</v>
      </c>
      <c r="L319" s="6">
        <v>5</v>
      </c>
      <c r="M319" s="6">
        <v>3245.77</v>
      </c>
      <c r="N319" s="6">
        <v>0</v>
      </c>
    </row>
    <row r="320" spans="1:14" x14ac:dyDescent="0.25">
      <c r="A320" s="6">
        <v>10399</v>
      </c>
      <c r="B320" s="6">
        <v>1111</v>
      </c>
      <c r="C320" s="11">
        <v>45228</v>
      </c>
      <c r="D320" s="11">
        <v>45237</v>
      </c>
      <c r="E320" s="6" t="s">
        <v>79</v>
      </c>
      <c r="F320" s="6" t="s">
        <v>79</v>
      </c>
      <c r="G320" s="6" t="s">
        <v>87</v>
      </c>
      <c r="H320" s="6" t="s">
        <v>105</v>
      </c>
      <c r="I320" s="6" t="s">
        <v>82</v>
      </c>
      <c r="J320" s="6" t="s">
        <v>106</v>
      </c>
      <c r="K320" s="6" t="s">
        <v>96</v>
      </c>
      <c r="L320" s="6">
        <v>3</v>
      </c>
      <c r="M320" s="6">
        <v>1789.86</v>
      </c>
      <c r="N320" s="6">
        <v>0</v>
      </c>
    </row>
    <row r="321" spans="1:14" x14ac:dyDescent="0.25">
      <c r="A321" s="6">
        <v>10403</v>
      </c>
      <c r="B321" s="6">
        <v>1152</v>
      </c>
      <c r="C321" s="11">
        <v>45035</v>
      </c>
      <c r="D321" s="11">
        <v>45037</v>
      </c>
      <c r="E321" s="6" t="s">
        <v>79</v>
      </c>
      <c r="F321" s="6" t="s">
        <v>101</v>
      </c>
      <c r="G321" s="6" t="s">
        <v>87</v>
      </c>
      <c r="H321" s="6" t="s">
        <v>107</v>
      </c>
      <c r="I321" s="6" t="s">
        <v>89</v>
      </c>
      <c r="J321" s="6" t="s">
        <v>99</v>
      </c>
      <c r="K321" s="6" t="s">
        <v>84</v>
      </c>
      <c r="L321" s="6">
        <v>1</v>
      </c>
      <c r="M321" s="6">
        <v>2743.75</v>
      </c>
      <c r="N321" s="6">
        <v>15</v>
      </c>
    </row>
    <row r="322" spans="1:14" x14ac:dyDescent="0.25">
      <c r="A322" s="6">
        <v>10405</v>
      </c>
      <c r="B322" s="6">
        <v>1913</v>
      </c>
      <c r="C322" s="11">
        <v>45084</v>
      </c>
      <c r="D322" s="11">
        <v>45091</v>
      </c>
      <c r="E322" s="6" t="s">
        <v>109</v>
      </c>
      <c r="F322" s="6" t="s">
        <v>86</v>
      </c>
      <c r="G322" s="6" t="s">
        <v>87</v>
      </c>
      <c r="H322" s="6" t="s">
        <v>88</v>
      </c>
      <c r="I322" s="6" t="s">
        <v>82</v>
      </c>
      <c r="J322" s="6" t="s">
        <v>132</v>
      </c>
      <c r="K322" s="6" t="s">
        <v>108</v>
      </c>
      <c r="L322" s="6">
        <v>4</v>
      </c>
      <c r="M322" s="6">
        <v>1333.99</v>
      </c>
      <c r="N322" s="6">
        <v>5</v>
      </c>
    </row>
    <row r="323" spans="1:14" x14ac:dyDescent="0.25">
      <c r="A323" s="6">
        <v>10406</v>
      </c>
      <c r="B323" s="6">
        <v>1895</v>
      </c>
      <c r="C323" s="11">
        <v>45195</v>
      </c>
      <c r="D323" s="11">
        <v>45204</v>
      </c>
      <c r="E323" s="6" t="s">
        <v>79</v>
      </c>
      <c r="F323" s="6" t="s">
        <v>92</v>
      </c>
      <c r="G323" s="6" t="s">
        <v>93</v>
      </c>
      <c r="H323" s="6" t="s">
        <v>107</v>
      </c>
      <c r="I323" s="6" t="s">
        <v>112</v>
      </c>
      <c r="J323" s="6" t="s">
        <v>114</v>
      </c>
      <c r="K323" s="6" t="s">
        <v>84</v>
      </c>
      <c r="L323" s="6">
        <v>1</v>
      </c>
      <c r="M323" s="6">
        <v>2044.41</v>
      </c>
      <c r="N323" s="6">
        <v>0</v>
      </c>
    </row>
    <row r="324" spans="1:14" x14ac:dyDescent="0.25">
      <c r="A324" s="6">
        <v>10407</v>
      </c>
      <c r="B324" s="6">
        <v>1877</v>
      </c>
      <c r="C324" s="11">
        <v>45088</v>
      </c>
      <c r="D324" s="11">
        <v>45090</v>
      </c>
      <c r="E324" s="6" t="s">
        <v>85</v>
      </c>
      <c r="F324" s="6" t="s">
        <v>86</v>
      </c>
      <c r="G324" s="6" t="s">
        <v>87</v>
      </c>
      <c r="H324" s="6" t="s">
        <v>88</v>
      </c>
      <c r="I324" s="6" t="s">
        <v>115</v>
      </c>
      <c r="J324" s="6" t="s">
        <v>116</v>
      </c>
      <c r="K324" s="6" t="s">
        <v>96</v>
      </c>
      <c r="L324" s="6">
        <v>9</v>
      </c>
      <c r="M324" s="6">
        <v>3216.56</v>
      </c>
      <c r="N324" s="6">
        <v>20</v>
      </c>
    </row>
    <row r="325" spans="1:14" x14ac:dyDescent="0.25">
      <c r="A325" s="6">
        <v>10409</v>
      </c>
      <c r="B325" s="6">
        <v>1705</v>
      </c>
      <c r="C325" s="11">
        <v>45028</v>
      </c>
      <c r="D325" s="11">
        <v>45034</v>
      </c>
      <c r="E325" s="6" t="s">
        <v>100</v>
      </c>
      <c r="F325" s="6" t="s">
        <v>79</v>
      </c>
      <c r="G325" s="6" t="s">
        <v>87</v>
      </c>
      <c r="H325" s="6" t="s">
        <v>81</v>
      </c>
      <c r="I325" s="6" t="s">
        <v>94</v>
      </c>
      <c r="J325" s="6" t="s">
        <v>102</v>
      </c>
      <c r="K325" s="6" t="s">
        <v>96</v>
      </c>
      <c r="L325" s="6">
        <v>7</v>
      </c>
      <c r="M325" s="6">
        <v>1020.23</v>
      </c>
      <c r="N325" s="6">
        <v>10</v>
      </c>
    </row>
    <row r="326" spans="1:14" x14ac:dyDescent="0.25">
      <c r="A326" s="6">
        <v>10411</v>
      </c>
      <c r="B326" s="6">
        <v>1162</v>
      </c>
      <c r="C326" s="11">
        <v>44985</v>
      </c>
      <c r="D326" s="11">
        <v>44993</v>
      </c>
      <c r="E326" s="6" t="s">
        <v>109</v>
      </c>
      <c r="F326" s="6" t="s">
        <v>79</v>
      </c>
      <c r="G326" s="6" t="s">
        <v>93</v>
      </c>
      <c r="H326" s="6" t="s">
        <v>88</v>
      </c>
      <c r="I326" s="6" t="s">
        <v>82</v>
      </c>
      <c r="J326" s="6" t="s">
        <v>106</v>
      </c>
      <c r="K326" s="6" t="s">
        <v>96</v>
      </c>
      <c r="L326" s="6">
        <v>3</v>
      </c>
      <c r="M326" s="6">
        <v>2165.7199999999998</v>
      </c>
      <c r="N326" s="6">
        <v>5</v>
      </c>
    </row>
    <row r="327" spans="1:14" x14ac:dyDescent="0.25">
      <c r="A327" s="6">
        <v>10413</v>
      </c>
      <c r="B327" s="6">
        <v>1956</v>
      </c>
      <c r="C327" s="11">
        <v>45054</v>
      </c>
      <c r="D327" s="11">
        <v>45056</v>
      </c>
      <c r="E327" s="6" t="s">
        <v>100</v>
      </c>
      <c r="F327" s="6" t="s">
        <v>117</v>
      </c>
      <c r="G327" s="6" t="s">
        <v>87</v>
      </c>
      <c r="H327" s="6" t="s">
        <v>81</v>
      </c>
      <c r="I327" s="6" t="s">
        <v>115</v>
      </c>
      <c r="J327" s="6" t="s">
        <v>116</v>
      </c>
      <c r="K327" s="6" t="s">
        <v>91</v>
      </c>
      <c r="L327" s="6">
        <v>8</v>
      </c>
      <c r="M327" s="6">
        <v>1297.5899999999999</v>
      </c>
      <c r="N327" s="6">
        <v>0</v>
      </c>
    </row>
    <row r="328" spans="1:14" x14ac:dyDescent="0.25">
      <c r="A328" s="6">
        <v>10414</v>
      </c>
      <c r="B328" s="6">
        <v>1680</v>
      </c>
      <c r="C328" s="11">
        <v>45209</v>
      </c>
      <c r="D328" s="11">
        <v>45212</v>
      </c>
      <c r="E328" s="6" t="s">
        <v>109</v>
      </c>
      <c r="F328" s="6" t="s">
        <v>117</v>
      </c>
      <c r="G328" s="6" t="s">
        <v>93</v>
      </c>
      <c r="H328" s="6" t="s">
        <v>105</v>
      </c>
      <c r="I328" s="6" t="s">
        <v>89</v>
      </c>
      <c r="J328" s="6" t="s">
        <v>99</v>
      </c>
      <c r="K328" s="6" t="s">
        <v>108</v>
      </c>
      <c r="L328" s="6">
        <v>1</v>
      </c>
      <c r="M328" s="6">
        <v>1219.7</v>
      </c>
      <c r="N328" s="6">
        <v>5</v>
      </c>
    </row>
    <row r="329" spans="1:14" x14ac:dyDescent="0.25">
      <c r="A329" s="6">
        <v>10417</v>
      </c>
      <c r="B329" s="6">
        <v>1579</v>
      </c>
      <c r="C329" s="11">
        <v>45057</v>
      </c>
      <c r="D329" s="11">
        <v>45065</v>
      </c>
      <c r="E329" s="6" t="s">
        <v>85</v>
      </c>
      <c r="F329" s="6" t="s">
        <v>117</v>
      </c>
      <c r="G329" s="6" t="s">
        <v>80</v>
      </c>
      <c r="H329" s="6" t="s">
        <v>107</v>
      </c>
      <c r="I329" s="6" t="s">
        <v>115</v>
      </c>
      <c r="J329" s="6" t="s">
        <v>127</v>
      </c>
      <c r="K329" s="6" t="s">
        <v>108</v>
      </c>
      <c r="L329" s="6">
        <v>1</v>
      </c>
      <c r="M329" s="6">
        <v>3354.81</v>
      </c>
      <c r="N329" s="6">
        <v>0</v>
      </c>
    </row>
    <row r="330" spans="1:14" x14ac:dyDescent="0.25">
      <c r="A330" s="6">
        <v>10418</v>
      </c>
      <c r="B330" s="6">
        <v>1800</v>
      </c>
      <c r="C330" s="11">
        <v>45279</v>
      </c>
      <c r="D330" s="11">
        <v>45280</v>
      </c>
      <c r="E330" s="6" t="s">
        <v>103</v>
      </c>
      <c r="F330" s="6" t="s">
        <v>117</v>
      </c>
      <c r="G330" s="6" t="s">
        <v>87</v>
      </c>
      <c r="H330" s="6" t="s">
        <v>98</v>
      </c>
      <c r="I330" s="6" t="s">
        <v>115</v>
      </c>
      <c r="J330" s="6" t="s">
        <v>119</v>
      </c>
      <c r="K330" s="6" t="s">
        <v>96</v>
      </c>
      <c r="L330" s="6">
        <v>8</v>
      </c>
      <c r="M330" s="6">
        <v>3905.57</v>
      </c>
      <c r="N330" s="6">
        <v>10</v>
      </c>
    </row>
    <row r="331" spans="1:14" x14ac:dyDescent="0.25">
      <c r="A331" s="6">
        <v>10422</v>
      </c>
      <c r="B331" s="6">
        <v>1915</v>
      </c>
      <c r="C331" s="11">
        <v>45059</v>
      </c>
      <c r="D331" s="11">
        <v>45061</v>
      </c>
      <c r="E331" s="6" t="s">
        <v>79</v>
      </c>
      <c r="F331" s="6" t="s">
        <v>117</v>
      </c>
      <c r="G331" s="6" t="s">
        <v>80</v>
      </c>
      <c r="H331" s="6" t="s">
        <v>81</v>
      </c>
      <c r="I331" s="6" t="s">
        <v>115</v>
      </c>
      <c r="J331" s="6" t="s">
        <v>127</v>
      </c>
      <c r="K331" s="6" t="s">
        <v>110</v>
      </c>
      <c r="L331" s="6">
        <v>6</v>
      </c>
      <c r="M331" s="6">
        <v>1288.31</v>
      </c>
      <c r="N331" s="6">
        <v>15</v>
      </c>
    </row>
    <row r="332" spans="1:14" x14ac:dyDescent="0.25">
      <c r="A332" s="6">
        <v>10423</v>
      </c>
      <c r="B332" s="6">
        <v>1503</v>
      </c>
      <c r="C332" s="11">
        <v>45153</v>
      </c>
      <c r="D332" s="11">
        <v>45155</v>
      </c>
      <c r="E332" s="6" t="s">
        <v>103</v>
      </c>
      <c r="F332" s="6" t="s">
        <v>79</v>
      </c>
      <c r="G332" s="6" t="s">
        <v>87</v>
      </c>
      <c r="H332" s="6" t="s">
        <v>107</v>
      </c>
      <c r="I332" s="6" t="s">
        <v>115</v>
      </c>
      <c r="J332" s="6" t="s">
        <v>123</v>
      </c>
      <c r="K332" s="6" t="s">
        <v>110</v>
      </c>
      <c r="L332" s="6">
        <v>9</v>
      </c>
      <c r="M332" s="6">
        <v>3740.3</v>
      </c>
      <c r="N332" s="6">
        <v>10</v>
      </c>
    </row>
    <row r="333" spans="1:14" x14ac:dyDescent="0.25">
      <c r="A333" s="6">
        <v>10427</v>
      </c>
      <c r="B333" s="6">
        <v>1194</v>
      </c>
      <c r="C333" s="11">
        <v>45137</v>
      </c>
      <c r="D333" s="11">
        <v>45140</v>
      </c>
      <c r="E333" s="6" t="s">
        <v>103</v>
      </c>
      <c r="F333" s="6" t="s">
        <v>86</v>
      </c>
      <c r="G333" s="6" t="s">
        <v>87</v>
      </c>
      <c r="H333" s="6" t="s">
        <v>88</v>
      </c>
      <c r="I333" s="6" t="s">
        <v>82</v>
      </c>
      <c r="J333" s="6" t="s">
        <v>118</v>
      </c>
      <c r="K333" s="6" t="s">
        <v>91</v>
      </c>
      <c r="L333" s="6">
        <v>9</v>
      </c>
      <c r="M333" s="6">
        <v>2454.59</v>
      </c>
      <c r="N333" s="6">
        <v>5</v>
      </c>
    </row>
    <row r="334" spans="1:14" x14ac:dyDescent="0.25">
      <c r="A334" s="6">
        <v>10431</v>
      </c>
      <c r="B334" s="6">
        <v>1687</v>
      </c>
      <c r="C334" s="11">
        <v>45139</v>
      </c>
      <c r="D334" s="11">
        <v>45146</v>
      </c>
      <c r="E334" s="6" t="s">
        <v>109</v>
      </c>
      <c r="F334" s="6" t="s">
        <v>101</v>
      </c>
      <c r="G334" s="6" t="s">
        <v>93</v>
      </c>
      <c r="H334" s="6" t="s">
        <v>98</v>
      </c>
      <c r="I334" s="6" t="s">
        <v>112</v>
      </c>
      <c r="J334" s="6" t="s">
        <v>114</v>
      </c>
      <c r="K334" s="6" t="s">
        <v>91</v>
      </c>
      <c r="L334" s="6">
        <v>6</v>
      </c>
      <c r="M334" s="6">
        <v>2247.37</v>
      </c>
      <c r="N334" s="6">
        <v>15</v>
      </c>
    </row>
    <row r="335" spans="1:14" x14ac:dyDescent="0.25">
      <c r="A335" s="6">
        <v>10434</v>
      </c>
      <c r="B335" s="6">
        <v>1882</v>
      </c>
      <c r="C335" s="11">
        <v>45057</v>
      </c>
      <c r="D335" s="11">
        <v>45062</v>
      </c>
      <c r="E335" s="6" t="s">
        <v>109</v>
      </c>
      <c r="F335" s="6" t="s">
        <v>117</v>
      </c>
      <c r="G335" s="6" t="s">
        <v>87</v>
      </c>
      <c r="H335" s="6" t="s">
        <v>88</v>
      </c>
      <c r="I335" s="6" t="s">
        <v>82</v>
      </c>
      <c r="J335" s="6" t="s">
        <v>83</v>
      </c>
      <c r="K335" s="6" t="s">
        <v>108</v>
      </c>
      <c r="L335" s="6">
        <v>8</v>
      </c>
      <c r="M335" s="6">
        <v>437.36</v>
      </c>
      <c r="N335" s="6">
        <v>20</v>
      </c>
    </row>
    <row r="336" spans="1:14" x14ac:dyDescent="0.25">
      <c r="A336" s="6">
        <v>10435</v>
      </c>
      <c r="B336" s="6">
        <v>1469</v>
      </c>
      <c r="C336" s="11">
        <v>45002</v>
      </c>
      <c r="D336" s="11">
        <v>45009</v>
      </c>
      <c r="E336" s="6" t="s">
        <v>78</v>
      </c>
      <c r="F336" s="6" t="s">
        <v>92</v>
      </c>
      <c r="G336" s="6" t="s">
        <v>87</v>
      </c>
      <c r="H336" s="6" t="s">
        <v>107</v>
      </c>
      <c r="I336" s="6" t="s">
        <v>115</v>
      </c>
      <c r="J336" s="6" t="s">
        <v>119</v>
      </c>
      <c r="K336" s="6" t="s">
        <v>84</v>
      </c>
      <c r="L336" s="6">
        <v>3</v>
      </c>
      <c r="M336" s="6">
        <v>3644.78</v>
      </c>
      <c r="N336" s="6">
        <v>0</v>
      </c>
    </row>
    <row r="337" spans="1:14" x14ac:dyDescent="0.25">
      <c r="A337" s="6">
        <v>10436</v>
      </c>
      <c r="B337" s="6">
        <v>1374</v>
      </c>
      <c r="C337" s="11">
        <v>45212</v>
      </c>
      <c r="D337" s="11">
        <v>45213</v>
      </c>
      <c r="E337" s="6" t="s">
        <v>78</v>
      </c>
      <c r="F337" s="6" t="s">
        <v>86</v>
      </c>
      <c r="G337" s="6" t="s">
        <v>93</v>
      </c>
      <c r="H337" s="6" t="s">
        <v>81</v>
      </c>
      <c r="I337" s="6" t="s">
        <v>115</v>
      </c>
      <c r="J337" s="6" t="s">
        <v>123</v>
      </c>
      <c r="K337" s="6" t="s">
        <v>84</v>
      </c>
      <c r="L337" s="6">
        <v>3</v>
      </c>
      <c r="M337" s="6">
        <v>3986.78</v>
      </c>
      <c r="N337" s="6">
        <v>20</v>
      </c>
    </row>
    <row r="338" spans="1:14" x14ac:dyDescent="0.25">
      <c r="A338" s="6">
        <v>10438</v>
      </c>
      <c r="B338" s="6">
        <v>1749</v>
      </c>
      <c r="C338" s="11">
        <v>45082</v>
      </c>
      <c r="D338" s="11">
        <v>45091</v>
      </c>
      <c r="E338" s="6" t="s">
        <v>109</v>
      </c>
      <c r="F338" s="6" t="s">
        <v>86</v>
      </c>
      <c r="G338" s="6" t="s">
        <v>93</v>
      </c>
      <c r="H338" s="6" t="s">
        <v>81</v>
      </c>
      <c r="I338" s="6" t="s">
        <v>89</v>
      </c>
      <c r="J338" s="6" t="s">
        <v>124</v>
      </c>
      <c r="K338" s="6" t="s">
        <v>110</v>
      </c>
      <c r="L338" s="6">
        <v>5</v>
      </c>
      <c r="M338" s="6">
        <v>3116.22</v>
      </c>
      <c r="N338" s="6">
        <v>10</v>
      </c>
    </row>
    <row r="339" spans="1:14" x14ac:dyDescent="0.25">
      <c r="A339" s="6">
        <v>10439</v>
      </c>
      <c r="B339" s="6">
        <v>1669</v>
      </c>
      <c r="C339" s="11">
        <v>45174</v>
      </c>
      <c r="D339" s="11">
        <v>45179</v>
      </c>
      <c r="E339" s="6" t="s">
        <v>97</v>
      </c>
      <c r="F339" s="6" t="s">
        <v>92</v>
      </c>
      <c r="G339" s="6" t="s">
        <v>87</v>
      </c>
      <c r="H339" s="6" t="s">
        <v>98</v>
      </c>
      <c r="I339" s="6" t="s">
        <v>112</v>
      </c>
      <c r="J339" s="6" t="s">
        <v>114</v>
      </c>
      <c r="K339" s="6" t="s">
        <v>91</v>
      </c>
      <c r="L339" s="6">
        <v>3</v>
      </c>
      <c r="M339" s="6">
        <v>1448.62</v>
      </c>
      <c r="N339" s="6">
        <v>10</v>
      </c>
    </row>
    <row r="340" spans="1:14" x14ac:dyDescent="0.25">
      <c r="A340" s="6">
        <v>10440</v>
      </c>
      <c r="B340" s="6">
        <v>1037</v>
      </c>
      <c r="C340" s="11">
        <v>45144</v>
      </c>
      <c r="D340" s="11">
        <v>45149</v>
      </c>
      <c r="E340" s="6" t="s">
        <v>100</v>
      </c>
      <c r="F340" s="6" t="s">
        <v>117</v>
      </c>
      <c r="G340" s="6" t="s">
        <v>80</v>
      </c>
      <c r="H340" s="6" t="s">
        <v>105</v>
      </c>
      <c r="I340" s="6" t="s">
        <v>112</v>
      </c>
      <c r="J340" s="6" t="s">
        <v>113</v>
      </c>
      <c r="K340" s="6" t="s">
        <v>96</v>
      </c>
      <c r="L340" s="6">
        <v>1</v>
      </c>
      <c r="M340" s="6">
        <v>3775.07</v>
      </c>
      <c r="N340" s="6">
        <v>10</v>
      </c>
    </row>
    <row r="341" spans="1:14" x14ac:dyDescent="0.25">
      <c r="A341" s="6">
        <v>10441</v>
      </c>
      <c r="B341" s="6">
        <v>1229</v>
      </c>
      <c r="C341" s="11">
        <v>45116</v>
      </c>
      <c r="D341" s="11">
        <v>45119</v>
      </c>
      <c r="E341" s="6" t="s">
        <v>79</v>
      </c>
      <c r="F341" s="6" t="s">
        <v>86</v>
      </c>
      <c r="G341" s="6" t="s">
        <v>80</v>
      </c>
      <c r="H341" s="6" t="s">
        <v>105</v>
      </c>
      <c r="I341" s="6" t="s">
        <v>94</v>
      </c>
      <c r="J341" s="6" t="s">
        <v>128</v>
      </c>
      <c r="K341" s="6" t="s">
        <v>108</v>
      </c>
      <c r="L341" s="6">
        <v>3</v>
      </c>
      <c r="M341" s="6">
        <v>2189.4</v>
      </c>
      <c r="N341" s="6">
        <v>20</v>
      </c>
    </row>
    <row r="342" spans="1:14" x14ac:dyDescent="0.25">
      <c r="A342" s="6">
        <v>10442</v>
      </c>
      <c r="B342" s="6">
        <v>1364</v>
      </c>
      <c r="C342" s="11">
        <v>45089</v>
      </c>
      <c r="D342" s="11">
        <v>45094</v>
      </c>
      <c r="E342" s="6" t="s">
        <v>78</v>
      </c>
      <c r="F342" s="6" t="s">
        <v>86</v>
      </c>
      <c r="G342" s="6" t="s">
        <v>87</v>
      </c>
      <c r="H342" s="6" t="s">
        <v>98</v>
      </c>
      <c r="I342" s="6" t="s">
        <v>120</v>
      </c>
      <c r="J342" s="6" t="s">
        <v>121</v>
      </c>
      <c r="K342" s="6" t="s">
        <v>108</v>
      </c>
      <c r="L342" s="6">
        <v>9</v>
      </c>
      <c r="M342" s="6">
        <v>2969.7</v>
      </c>
      <c r="N342" s="6">
        <v>10</v>
      </c>
    </row>
    <row r="343" spans="1:14" x14ac:dyDescent="0.25">
      <c r="A343" s="6">
        <v>10444</v>
      </c>
      <c r="B343" s="6">
        <v>1437</v>
      </c>
      <c r="C343" s="11">
        <v>44960</v>
      </c>
      <c r="D343" s="11">
        <v>44969</v>
      </c>
      <c r="E343" s="6" t="s">
        <v>103</v>
      </c>
      <c r="F343" s="6" t="s">
        <v>101</v>
      </c>
      <c r="G343" s="6" t="s">
        <v>93</v>
      </c>
      <c r="H343" s="6" t="s">
        <v>81</v>
      </c>
      <c r="I343" s="6" t="s">
        <v>94</v>
      </c>
      <c r="J343" s="6" t="s">
        <v>95</v>
      </c>
      <c r="K343" s="6" t="s">
        <v>84</v>
      </c>
      <c r="L343" s="6">
        <v>2</v>
      </c>
      <c r="M343" s="6">
        <v>3904.44</v>
      </c>
      <c r="N343" s="6">
        <v>10</v>
      </c>
    </row>
    <row r="344" spans="1:14" x14ac:dyDescent="0.25">
      <c r="A344" s="6">
        <v>10447</v>
      </c>
      <c r="B344" s="6">
        <v>1026</v>
      </c>
      <c r="C344" s="11">
        <v>45264</v>
      </c>
      <c r="D344" s="11">
        <v>45265</v>
      </c>
      <c r="E344" s="6" t="s">
        <v>97</v>
      </c>
      <c r="F344" s="6" t="s">
        <v>101</v>
      </c>
      <c r="G344" s="6" t="s">
        <v>80</v>
      </c>
      <c r="H344" s="6" t="s">
        <v>98</v>
      </c>
      <c r="I344" s="6" t="s">
        <v>89</v>
      </c>
      <c r="J344" s="6" t="s">
        <v>131</v>
      </c>
      <c r="K344" s="6" t="s">
        <v>91</v>
      </c>
      <c r="L344" s="6">
        <v>4</v>
      </c>
      <c r="M344" s="6">
        <v>3871.21</v>
      </c>
      <c r="N344" s="6">
        <v>10</v>
      </c>
    </row>
    <row r="345" spans="1:14" x14ac:dyDescent="0.25">
      <c r="A345" s="6">
        <v>10448</v>
      </c>
      <c r="B345" s="6">
        <v>1225</v>
      </c>
      <c r="C345" s="11">
        <v>45240</v>
      </c>
      <c r="D345" s="11">
        <v>45247</v>
      </c>
      <c r="E345" s="6" t="s">
        <v>103</v>
      </c>
      <c r="F345" s="6" t="s">
        <v>101</v>
      </c>
      <c r="G345" s="6" t="s">
        <v>93</v>
      </c>
      <c r="H345" s="6" t="s">
        <v>81</v>
      </c>
      <c r="I345" s="6" t="s">
        <v>82</v>
      </c>
      <c r="J345" s="6" t="s">
        <v>83</v>
      </c>
      <c r="K345" s="6" t="s">
        <v>96</v>
      </c>
      <c r="L345" s="6">
        <v>7</v>
      </c>
      <c r="M345" s="6">
        <v>2568.2600000000002</v>
      </c>
      <c r="N345" s="6">
        <v>10</v>
      </c>
    </row>
    <row r="346" spans="1:14" x14ac:dyDescent="0.25">
      <c r="A346" s="6">
        <v>10452</v>
      </c>
      <c r="B346" s="6">
        <v>1283</v>
      </c>
      <c r="C346" s="11">
        <v>45076</v>
      </c>
      <c r="D346" s="11">
        <v>45082</v>
      </c>
      <c r="E346" s="6" t="s">
        <v>109</v>
      </c>
      <c r="F346" s="6" t="s">
        <v>86</v>
      </c>
      <c r="G346" s="6" t="s">
        <v>87</v>
      </c>
      <c r="H346" s="6" t="s">
        <v>105</v>
      </c>
      <c r="I346" s="6" t="s">
        <v>112</v>
      </c>
      <c r="J346" s="6" t="s">
        <v>130</v>
      </c>
      <c r="K346" s="6" t="s">
        <v>91</v>
      </c>
      <c r="L346" s="6">
        <v>1</v>
      </c>
      <c r="M346" s="6">
        <v>1574.59</v>
      </c>
      <c r="N346" s="6">
        <v>5</v>
      </c>
    </row>
    <row r="347" spans="1:14" x14ac:dyDescent="0.25">
      <c r="A347" s="6">
        <v>10454</v>
      </c>
      <c r="B347" s="6">
        <v>1959</v>
      </c>
      <c r="C347" s="11">
        <v>45251</v>
      </c>
      <c r="D347" s="11">
        <v>45255</v>
      </c>
      <c r="E347" s="6" t="s">
        <v>97</v>
      </c>
      <c r="F347" s="6" t="s">
        <v>104</v>
      </c>
      <c r="G347" s="6" t="s">
        <v>80</v>
      </c>
      <c r="H347" s="6" t="s">
        <v>88</v>
      </c>
      <c r="I347" s="6" t="s">
        <v>120</v>
      </c>
      <c r="J347" s="6" t="s">
        <v>121</v>
      </c>
      <c r="K347" s="6" t="s">
        <v>91</v>
      </c>
      <c r="L347" s="6">
        <v>9</v>
      </c>
      <c r="M347" s="6">
        <v>3191.56</v>
      </c>
      <c r="N347" s="6">
        <v>20</v>
      </c>
    </row>
    <row r="348" spans="1:14" x14ac:dyDescent="0.25">
      <c r="A348" s="6">
        <v>10455</v>
      </c>
      <c r="B348" s="6">
        <v>1480</v>
      </c>
      <c r="C348" s="11">
        <v>45034</v>
      </c>
      <c r="D348" s="11">
        <v>45036</v>
      </c>
      <c r="E348" s="6" t="s">
        <v>78</v>
      </c>
      <c r="F348" s="6" t="s">
        <v>92</v>
      </c>
      <c r="G348" s="6" t="s">
        <v>80</v>
      </c>
      <c r="H348" s="6" t="s">
        <v>81</v>
      </c>
      <c r="I348" s="6" t="s">
        <v>115</v>
      </c>
      <c r="J348" s="6" t="s">
        <v>127</v>
      </c>
      <c r="K348" s="6" t="s">
        <v>108</v>
      </c>
      <c r="L348" s="6">
        <v>2</v>
      </c>
      <c r="M348" s="6">
        <v>1374.23</v>
      </c>
      <c r="N348" s="6">
        <v>0</v>
      </c>
    </row>
    <row r="349" spans="1:14" x14ac:dyDescent="0.25">
      <c r="A349" s="6">
        <v>10457</v>
      </c>
      <c r="B349" s="6">
        <v>1828</v>
      </c>
      <c r="C349" s="11">
        <v>45276</v>
      </c>
      <c r="D349" s="11">
        <v>45280</v>
      </c>
      <c r="E349" s="6" t="s">
        <v>109</v>
      </c>
      <c r="F349" s="6" t="s">
        <v>92</v>
      </c>
      <c r="G349" s="6" t="s">
        <v>87</v>
      </c>
      <c r="H349" s="6" t="s">
        <v>107</v>
      </c>
      <c r="I349" s="6" t="s">
        <v>89</v>
      </c>
      <c r="J349" s="6" t="s">
        <v>90</v>
      </c>
      <c r="K349" s="6" t="s">
        <v>91</v>
      </c>
      <c r="L349" s="6">
        <v>5</v>
      </c>
      <c r="M349" s="6">
        <v>1480.66</v>
      </c>
      <c r="N349" s="6">
        <v>0</v>
      </c>
    </row>
    <row r="350" spans="1:14" x14ac:dyDescent="0.25">
      <c r="A350" s="6">
        <v>10460</v>
      </c>
      <c r="B350" s="6">
        <v>1515</v>
      </c>
      <c r="C350" s="11">
        <v>45215</v>
      </c>
      <c r="D350" s="11">
        <v>45221</v>
      </c>
      <c r="E350" s="6" t="s">
        <v>85</v>
      </c>
      <c r="F350" s="6" t="s">
        <v>92</v>
      </c>
      <c r="G350" s="6" t="s">
        <v>87</v>
      </c>
      <c r="H350" s="6" t="s">
        <v>88</v>
      </c>
      <c r="I350" s="6" t="s">
        <v>112</v>
      </c>
      <c r="J350" s="6" t="s">
        <v>113</v>
      </c>
      <c r="K350" s="6" t="s">
        <v>84</v>
      </c>
      <c r="L350" s="6">
        <v>1</v>
      </c>
      <c r="M350" s="6">
        <v>445.38</v>
      </c>
      <c r="N350" s="6">
        <v>10</v>
      </c>
    </row>
    <row r="351" spans="1:14" x14ac:dyDescent="0.25">
      <c r="A351" s="6">
        <v>10463</v>
      </c>
      <c r="B351" s="6">
        <v>1048</v>
      </c>
      <c r="C351" s="11">
        <v>44992</v>
      </c>
      <c r="D351" s="11">
        <v>45000</v>
      </c>
      <c r="E351" s="6" t="s">
        <v>85</v>
      </c>
      <c r="F351" s="6" t="s">
        <v>79</v>
      </c>
      <c r="G351" s="6" t="s">
        <v>87</v>
      </c>
      <c r="H351" s="6" t="s">
        <v>98</v>
      </c>
      <c r="I351" s="6" t="s">
        <v>89</v>
      </c>
      <c r="J351" s="6" t="s">
        <v>99</v>
      </c>
      <c r="K351" s="6" t="s">
        <v>110</v>
      </c>
      <c r="L351" s="6">
        <v>5</v>
      </c>
      <c r="M351" s="6">
        <v>2072.3200000000002</v>
      </c>
      <c r="N351" s="6">
        <v>15</v>
      </c>
    </row>
    <row r="352" spans="1:14" x14ac:dyDescent="0.25">
      <c r="A352" s="6">
        <v>10464</v>
      </c>
      <c r="B352" s="6">
        <v>1511</v>
      </c>
      <c r="C352" s="11">
        <v>45174</v>
      </c>
      <c r="D352" s="11">
        <v>45176</v>
      </c>
      <c r="E352" s="6" t="s">
        <v>109</v>
      </c>
      <c r="F352" s="6" t="s">
        <v>86</v>
      </c>
      <c r="G352" s="6" t="s">
        <v>93</v>
      </c>
      <c r="H352" s="6" t="s">
        <v>105</v>
      </c>
      <c r="I352" s="6" t="s">
        <v>94</v>
      </c>
      <c r="J352" s="6" t="s">
        <v>128</v>
      </c>
      <c r="K352" s="6" t="s">
        <v>110</v>
      </c>
      <c r="L352" s="6">
        <v>1</v>
      </c>
      <c r="M352" s="6">
        <v>559.4</v>
      </c>
      <c r="N352" s="6">
        <v>20</v>
      </c>
    </row>
    <row r="353" spans="1:14" x14ac:dyDescent="0.25">
      <c r="A353" s="6">
        <v>10465</v>
      </c>
      <c r="B353" s="6">
        <v>1016</v>
      </c>
      <c r="C353" s="11">
        <v>45082</v>
      </c>
      <c r="D353" s="11">
        <v>45089</v>
      </c>
      <c r="E353" s="6" t="s">
        <v>100</v>
      </c>
      <c r="F353" s="6" t="s">
        <v>86</v>
      </c>
      <c r="G353" s="6" t="s">
        <v>93</v>
      </c>
      <c r="H353" s="6" t="s">
        <v>107</v>
      </c>
      <c r="I353" s="6" t="s">
        <v>82</v>
      </c>
      <c r="J353" s="6" t="s">
        <v>106</v>
      </c>
      <c r="K353" s="6" t="s">
        <v>96</v>
      </c>
      <c r="L353" s="6">
        <v>4</v>
      </c>
      <c r="M353" s="6">
        <v>589.44000000000005</v>
      </c>
      <c r="N353" s="6">
        <v>20</v>
      </c>
    </row>
    <row r="354" spans="1:14" x14ac:dyDescent="0.25">
      <c r="A354" s="6">
        <v>10466</v>
      </c>
      <c r="B354" s="6">
        <v>1171</v>
      </c>
      <c r="C354" s="11">
        <v>44973</v>
      </c>
      <c r="D354" s="11">
        <v>44975</v>
      </c>
      <c r="E354" s="6" t="s">
        <v>79</v>
      </c>
      <c r="F354" s="6" t="s">
        <v>104</v>
      </c>
      <c r="G354" s="6" t="s">
        <v>93</v>
      </c>
      <c r="H354" s="6" t="s">
        <v>98</v>
      </c>
      <c r="I354" s="6" t="s">
        <v>82</v>
      </c>
      <c r="J354" s="6" t="s">
        <v>106</v>
      </c>
      <c r="K354" s="6" t="s">
        <v>91</v>
      </c>
      <c r="L354" s="6">
        <v>6</v>
      </c>
      <c r="M354" s="6">
        <v>3773.04</v>
      </c>
      <c r="N354" s="6">
        <v>0</v>
      </c>
    </row>
    <row r="355" spans="1:14" x14ac:dyDescent="0.25">
      <c r="A355" s="6">
        <v>10468</v>
      </c>
      <c r="B355" s="6">
        <v>1157</v>
      </c>
      <c r="C355" s="11">
        <v>45074</v>
      </c>
      <c r="D355" s="11">
        <v>45082</v>
      </c>
      <c r="E355" s="6" t="s">
        <v>85</v>
      </c>
      <c r="F355" s="6" t="s">
        <v>79</v>
      </c>
      <c r="G355" s="6" t="s">
        <v>80</v>
      </c>
      <c r="H355" s="6" t="s">
        <v>81</v>
      </c>
      <c r="I355" s="6" t="s">
        <v>120</v>
      </c>
      <c r="J355" s="6" t="s">
        <v>122</v>
      </c>
      <c r="K355" s="6" t="s">
        <v>108</v>
      </c>
      <c r="L355" s="6">
        <v>9</v>
      </c>
      <c r="M355" s="6">
        <v>1890.53</v>
      </c>
      <c r="N355" s="6">
        <v>15</v>
      </c>
    </row>
    <row r="356" spans="1:14" x14ac:dyDescent="0.25">
      <c r="A356" s="6">
        <v>10470</v>
      </c>
      <c r="B356" s="6">
        <v>1045</v>
      </c>
      <c r="C356" s="11">
        <v>44927</v>
      </c>
      <c r="D356" s="11">
        <v>44936</v>
      </c>
      <c r="E356" s="6" t="s">
        <v>97</v>
      </c>
      <c r="F356" s="6" t="s">
        <v>92</v>
      </c>
      <c r="G356" s="6" t="s">
        <v>93</v>
      </c>
      <c r="H356" s="6" t="s">
        <v>81</v>
      </c>
      <c r="I356" s="6" t="s">
        <v>89</v>
      </c>
      <c r="J356" s="6" t="s">
        <v>99</v>
      </c>
      <c r="K356" s="6" t="s">
        <v>91</v>
      </c>
      <c r="L356" s="6">
        <v>8</v>
      </c>
      <c r="M356" s="6">
        <v>150.72</v>
      </c>
      <c r="N356" s="6">
        <v>5</v>
      </c>
    </row>
    <row r="357" spans="1:14" x14ac:dyDescent="0.25">
      <c r="A357" s="6">
        <v>10472</v>
      </c>
      <c r="B357" s="6">
        <v>1517</v>
      </c>
      <c r="C357" s="11">
        <v>45269</v>
      </c>
      <c r="D357" s="11">
        <v>45278</v>
      </c>
      <c r="E357" s="6" t="s">
        <v>78</v>
      </c>
      <c r="F357" s="6" t="s">
        <v>117</v>
      </c>
      <c r="G357" s="6" t="s">
        <v>93</v>
      </c>
      <c r="H357" s="6" t="s">
        <v>98</v>
      </c>
      <c r="I357" s="6" t="s">
        <v>94</v>
      </c>
      <c r="J357" s="6" t="s">
        <v>111</v>
      </c>
      <c r="K357" s="6" t="s">
        <v>91</v>
      </c>
      <c r="L357" s="6">
        <v>5</v>
      </c>
      <c r="M357" s="6">
        <v>2523.25</v>
      </c>
      <c r="N357" s="6">
        <v>10</v>
      </c>
    </row>
    <row r="358" spans="1:14" x14ac:dyDescent="0.25">
      <c r="A358" s="6">
        <v>10480</v>
      </c>
      <c r="B358" s="6">
        <v>1301</v>
      </c>
      <c r="C358" s="11">
        <v>45117</v>
      </c>
      <c r="D358" s="11">
        <v>45119</v>
      </c>
      <c r="E358" s="6" t="s">
        <v>79</v>
      </c>
      <c r="F358" s="6" t="s">
        <v>92</v>
      </c>
      <c r="G358" s="6" t="s">
        <v>80</v>
      </c>
      <c r="H358" s="6" t="s">
        <v>107</v>
      </c>
      <c r="I358" s="6" t="s">
        <v>89</v>
      </c>
      <c r="J358" s="6" t="s">
        <v>99</v>
      </c>
      <c r="K358" s="6" t="s">
        <v>110</v>
      </c>
      <c r="L358" s="6">
        <v>6</v>
      </c>
      <c r="M358" s="6">
        <v>845</v>
      </c>
      <c r="N358" s="6">
        <v>15</v>
      </c>
    </row>
    <row r="359" spans="1:14" x14ac:dyDescent="0.25">
      <c r="A359" s="6">
        <v>10481</v>
      </c>
      <c r="B359" s="6">
        <v>1180</v>
      </c>
      <c r="C359" s="11">
        <v>44947</v>
      </c>
      <c r="D359" s="11">
        <v>44955</v>
      </c>
      <c r="E359" s="6" t="s">
        <v>97</v>
      </c>
      <c r="F359" s="6" t="s">
        <v>104</v>
      </c>
      <c r="G359" s="6" t="s">
        <v>80</v>
      </c>
      <c r="H359" s="6" t="s">
        <v>107</v>
      </c>
      <c r="I359" s="6" t="s">
        <v>112</v>
      </c>
      <c r="J359" s="6" t="s">
        <v>113</v>
      </c>
      <c r="K359" s="6" t="s">
        <v>110</v>
      </c>
      <c r="L359" s="6">
        <v>8</v>
      </c>
      <c r="M359" s="6">
        <v>1160.51</v>
      </c>
      <c r="N359" s="6">
        <v>0</v>
      </c>
    </row>
    <row r="360" spans="1:14" x14ac:dyDescent="0.25">
      <c r="A360" s="6">
        <v>10482</v>
      </c>
      <c r="B360" s="6">
        <v>1606</v>
      </c>
      <c r="C360" s="11">
        <v>45153</v>
      </c>
      <c r="D360" s="11">
        <v>45162</v>
      </c>
      <c r="E360" s="6" t="s">
        <v>97</v>
      </c>
      <c r="F360" s="6" t="s">
        <v>117</v>
      </c>
      <c r="G360" s="6" t="s">
        <v>87</v>
      </c>
      <c r="H360" s="6" t="s">
        <v>88</v>
      </c>
      <c r="I360" s="6" t="s">
        <v>120</v>
      </c>
      <c r="J360" s="6" t="s">
        <v>129</v>
      </c>
      <c r="K360" s="6" t="s">
        <v>96</v>
      </c>
      <c r="L360" s="6">
        <v>7</v>
      </c>
      <c r="M360" s="6">
        <v>2172.2399999999998</v>
      </c>
      <c r="N360" s="6">
        <v>20</v>
      </c>
    </row>
    <row r="361" spans="1:14" x14ac:dyDescent="0.25">
      <c r="A361" s="6">
        <v>10485</v>
      </c>
      <c r="B361" s="6">
        <v>1992</v>
      </c>
      <c r="C361" s="11">
        <v>45228</v>
      </c>
      <c r="D361" s="11">
        <v>45237</v>
      </c>
      <c r="E361" s="6" t="s">
        <v>79</v>
      </c>
      <c r="F361" s="6" t="s">
        <v>79</v>
      </c>
      <c r="G361" s="6" t="s">
        <v>80</v>
      </c>
      <c r="H361" s="6" t="s">
        <v>105</v>
      </c>
      <c r="I361" s="6" t="s">
        <v>82</v>
      </c>
      <c r="J361" s="6" t="s">
        <v>106</v>
      </c>
      <c r="K361" s="6" t="s">
        <v>108</v>
      </c>
      <c r="L361" s="6">
        <v>2</v>
      </c>
      <c r="M361" s="6">
        <v>1294.8399999999999</v>
      </c>
      <c r="N361" s="6">
        <v>15</v>
      </c>
    </row>
    <row r="362" spans="1:14" x14ac:dyDescent="0.25">
      <c r="A362" s="6">
        <v>10486</v>
      </c>
      <c r="B362" s="6">
        <v>1115</v>
      </c>
      <c r="C362" s="11">
        <v>45068</v>
      </c>
      <c r="D362" s="11">
        <v>45077</v>
      </c>
      <c r="E362" s="6" t="s">
        <v>79</v>
      </c>
      <c r="F362" s="6" t="s">
        <v>104</v>
      </c>
      <c r="G362" s="6" t="s">
        <v>87</v>
      </c>
      <c r="H362" s="6" t="s">
        <v>105</v>
      </c>
      <c r="I362" s="6" t="s">
        <v>112</v>
      </c>
      <c r="J362" s="6" t="s">
        <v>126</v>
      </c>
      <c r="K362" s="6" t="s">
        <v>96</v>
      </c>
      <c r="L362" s="6">
        <v>9</v>
      </c>
      <c r="M362" s="6">
        <v>775.77</v>
      </c>
      <c r="N362" s="6">
        <v>0</v>
      </c>
    </row>
    <row r="363" spans="1:14" x14ac:dyDescent="0.25">
      <c r="A363" s="6">
        <v>10487</v>
      </c>
      <c r="B363" s="6">
        <v>1190</v>
      </c>
      <c r="C363" s="11">
        <v>44965</v>
      </c>
      <c r="D363" s="11">
        <v>44966</v>
      </c>
      <c r="E363" s="6" t="s">
        <v>103</v>
      </c>
      <c r="F363" s="6" t="s">
        <v>79</v>
      </c>
      <c r="G363" s="6" t="s">
        <v>93</v>
      </c>
      <c r="H363" s="6" t="s">
        <v>88</v>
      </c>
      <c r="I363" s="6" t="s">
        <v>115</v>
      </c>
      <c r="J363" s="6" t="s">
        <v>116</v>
      </c>
      <c r="K363" s="6" t="s">
        <v>84</v>
      </c>
      <c r="L363" s="6">
        <v>4</v>
      </c>
      <c r="M363" s="6">
        <v>2751.14</v>
      </c>
      <c r="N363" s="6">
        <v>20</v>
      </c>
    </row>
    <row r="364" spans="1:14" x14ac:dyDescent="0.25">
      <c r="A364" s="6">
        <v>10489</v>
      </c>
      <c r="B364" s="6">
        <v>1980</v>
      </c>
      <c r="C364" s="11">
        <v>45178</v>
      </c>
      <c r="D364" s="11">
        <v>45187</v>
      </c>
      <c r="E364" s="6" t="s">
        <v>97</v>
      </c>
      <c r="F364" s="6" t="s">
        <v>86</v>
      </c>
      <c r="G364" s="6" t="s">
        <v>87</v>
      </c>
      <c r="H364" s="6" t="s">
        <v>81</v>
      </c>
      <c r="I364" s="6" t="s">
        <v>120</v>
      </c>
      <c r="J364" s="6" t="s">
        <v>125</v>
      </c>
      <c r="K364" s="6" t="s">
        <v>96</v>
      </c>
      <c r="L364" s="6">
        <v>8</v>
      </c>
      <c r="M364" s="6">
        <v>2536.88</v>
      </c>
      <c r="N364" s="6">
        <v>5</v>
      </c>
    </row>
    <row r="365" spans="1:14" x14ac:dyDescent="0.25">
      <c r="A365" s="6">
        <v>10490</v>
      </c>
      <c r="B365" s="6">
        <v>1927</v>
      </c>
      <c r="C365" s="11">
        <v>45259</v>
      </c>
      <c r="D365" s="11">
        <v>45261</v>
      </c>
      <c r="E365" s="6" t="s">
        <v>78</v>
      </c>
      <c r="F365" s="6" t="s">
        <v>92</v>
      </c>
      <c r="G365" s="6" t="s">
        <v>80</v>
      </c>
      <c r="H365" s="6" t="s">
        <v>98</v>
      </c>
      <c r="I365" s="6" t="s">
        <v>94</v>
      </c>
      <c r="J365" s="6" t="s">
        <v>95</v>
      </c>
      <c r="K365" s="6" t="s">
        <v>108</v>
      </c>
      <c r="L365" s="6">
        <v>7</v>
      </c>
      <c r="M365" s="6">
        <v>2838.06</v>
      </c>
      <c r="N365" s="6">
        <v>20</v>
      </c>
    </row>
    <row r="366" spans="1:14" x14ac:dyDescent="0.25">
      <c r="A366" s="6">
        <v>10491</v>
      </c>
      <c r="B366" s="6">
        <v>1982</v>
      </c>
      <c r="C366" s="11">
        <v>45133</v>
      </c>
      <c r="D366" s="11">
        <v>45137</v>
      </c>
      <c r="E366" s="6" t="s">
        <v>79</v>
      </c>
      <c r="F366" s="6" t="s">
        <v>92</v>
      </c>
      <c r="G366" s="6" t="s">
        <v>80</v>
      </c>
      <c r="H366" s="6" t="s">
        <v>107</v>
      </c>
      <c r="I366" s="6" t="s">
        <v>112</v>
      </c>
      <c r="J366" s="6" t="s">
        <v>126</v>
      </c>
      <c r="K366" s="6" t="s">
        <v>91</v>
      </c>
      <c r="L366" s="6">
        <v>5</v>
      </c>
      <c r="M366" s="6">
        <v>977.43</v>
      </c>
      <c r="N366" s="6">
        <v>20</v>
      </c>
    </row>
    <row r="367" spans="1:14" x14ac:dyDescent="0.25">
      <c r="A367" s="6">
        <v>10493</v>
      </c>
      <c r="B367" s="6">
        <v>1255</v>
      </c>
      <c r="C367" s="11">
        <v>45041</v>
      </c>
      <c r="D367" s="11">
        <v>45043</v>
      </c>
      <c r="E367" s="6" t="s">
        <v>103</v>
      </c>
      <c r="F367" s="6" t="s">
        <v>79</v>
      </c>
      <c r="G367" s="6" t="s">
        <v>87</v>
      </c>
      <c r="H367" s="6" t="s">
        <v>107</v>
      </c>
      <c r="I367" s="6" t="s">
        <v>112</v>
      </c>
      <c r="J367" s="6" t="s">
        <v>130</v>
      </c>
      <c r="K367" s="6" t="s">
        <v>91</v>
      </c>
      <c r="L367" s="6">
        <v>7</v>
      </c>
      <c r="M367" s="6">
        <v>1550.03</v>
      </c>
      <c r="N367" s="6">
        <v>10</v>
      </c>
    </row>
    <row r="368" spans="1:14" x14ac:dyDescent="0.25">
      <c r="A368" s="6">
        <v>10494</v>
      </c>
      <c r="B368" s="6">
        <v>1322</v>
      </c>
      <c r="C368" s="11">
        <v>45151</v>
      </c>
      <c r="D368" s="11">
        <v>45154</v>
      </c>
      <c r="E368" s="6" t="s">
        <v>100</v>
      </c>
      <c r="F368" s="6" t="s">
        <v>104</v>
      </c>
      <c r="G368" s="6" t="s">
        <v>80</v>
      </c>
      <c r="H368" s="6" t="s">
        <v>107</v>
      </c>
      <c r="I368" s="6" t="s">
        <v>120</v>
      </c>
      <c r="J368" s="6" t="s">
        <v>129</v>
      </c>
      <c r="K368" s="6" t="s">
        <v>108</v>
      </c>
      <c r="L368" s="6">
        <v>5</v>
      </c>
      <c r="M368" s="6">
        <v>529.59</v>
      </c>
      <c r="N368" s="6">
        <v>5</v>
      </c>
    </row>
    <row r="369" spans="1:14" x14ac:dyDescent="0.25">
      <c r="A369" s="6">
        <v>10495</v>
      </c>
      <c r="B369" s="6">
        <v>1127</v>
      </c>
      <c r="C369" s="11">
        <v>45060</v>
      </c>
      <c r="D369" s="11">
        <v>45063</v>
      </c>
      <c r="E369" s="6" t="s">
        <v>78</v>
      </c>
      <c r="F369" s="6" t="s">
        <v>86</v>
      </c>
      <c r="G369" s="6" t="s">
        <v>93</v>
      </c>
      <c r="H369" s="6" t="s">
        <v>88</v>
      </c>
      <c r="I369" s="6" t="s">
        <v>120</v>
      </c>
      <c r="J369" s="6" t="s">
        <v>122</v>
      </c>
      <c r="K369" s="6" t="s">
        <v>108</v>
      </c>
      <c r="L369" s="6">
        <v>8</v>
      </c>
      <c r="M369" s="6">
        <v>598.44000000000005</v>
      </c>
      <c r="N369" s="6">
        <v>0</v>
      </c>
    </row>
    <row r="370" spans="1:14" x14ac:dyDescent="0.25">
      <c r="A370" s="6">
        <v>10496</v>
      </c>
      <c r="B370" s="6">
        <v>1017</v>
      </c>
      <c r="C370" s="11">
        <v>45177</v>
      </c>
      <c r="D370" s="11">
        <v>45178</v>
      </c>
      <c r="E370" s="6" t="s">
        <v>78</v>
      </c>
      <c r="F370" s="6" t="s">
        <v>86</v>
      </c>
      <c r="G370" s="6" t="s">
        <v>80</v>
      </c>
      <c r="H370" s="6" t="s">
        <v>105</v>
      </c>
      <c r="I370" s="6" t="s">
        <v>115</v>
      </c>
      <c r="J370" s="6" t="s">
        <v>123</v>
      </c>
      <c r="K370" s="6" t="s">
        <v>108</v>
      </c>
      <c r="L370" s="6">
        <v>6</v>
      </c>
      <c r="M370" s="6">
        <v>1128.9100000000001</v>
      </c>
      <c r="N370" s="6">
        <v>20</v>
      </c>
    </row>
    <row r="371" spans="1:14" x14ac:dyDescent="0.25">
      <c r="A371" s="6">
        <v>10497</v>
      </c>
      <c r="B371" s="6">
        <v>1792</v>
      </c>
      <c r="C371" s="11">
        <v>45145</v>
      </c>
      <c r="D371" s="11">
        <v>45151</v>
      </c>
      <c r="E371" s="6" t="s">
        <v>79</v>
      </c>
      <c r="F371" s="6" t="s">
        <v>92</v>
      </c>
      <c r="G371" s="6" t="s">
        <v>87</v>
      </c>
      <c r="H371" s="6" t="s">
        <v>105</v>
      </c>
      <c r="I371" s="6" t="s">
        <v>94</v>
      </c>
      <c r="J371" s="6" t="s">
        <v>102</v>
      </c>
      <c r="K371" s="6" t="s">
        <v>84</v>
      </c>
      <c r="L371" s="6">
        <v>5</v>
      </c>
      <c r="M371" s="6">
        <v>1287.55</v>
      </c>
      <c r="N371" s="6">
        <v>0</v>
      </c>
    </row>
    <row r="372" spans="1:14" x14ac:dyDescent="0.25">
      <c r="A372" s="6">
        <v>10498</v>
      </c>
      <c r="B372" s="6">
        <v>1734</v>
      </c>
      <c r="C372" s="11">
        <v>45017</v>
      </c>
      <c r="D372" s="11">
        <v>45025</v>
      </c>
      <c r="E372" s="6" t="s">
        <v>109</v>
      </c>
      <c r="F372" s="6" t="s">
        <v>79</v>
      </c>
      <c r="G372" s="6" t="s">
        <v>93</v>
      </c>
      <c r="H372" s="6" t="s">
        <v>81</v>
      </c>
      <c r="I372" s="6" t="s">
        <v>89</v>
      </c>
      <c r="J372" s="6" t="s">
        <v>99</v>
      </c>
      <c r="K372" s="6" t="s">
        <v>91</v>
      </c>
      <c r="L372" s="6">
        <v>9</v>
      </c>
      <c r="M372" s="6">
        <v>2190.39</v>
      </c>
      <c r="N372" s="6">
        <v>20</v>
      </c>
    </row>
    <row r="373" spans="1:14" x14ac:dyDescent="0.25">
      <c r="A373" s="6">
        <v>10500</v>
      </c>
      <c r="B373" s="6">
        <v>1569</v>
      </c>
      <c r="C373" s="11">
        <v>44972</v>
      </c>
      <c r="D373" s="11">
        <v>44977</v>
      </c>
      <c r="E373" s="6" t="s">
        <v>78</v>
      </c>
      <c r="F373" s="6" t="s">
        <v>79</v>
      </c>
      <c r="G373" s="6" t="s">
        <v>93</v>
      </c>
      <c r="H373" s="6" t="s">
        <v>105</v>
      </c>
      <c r="I373" s="6" t="s">
        <v>94</v>
      </c>
      <c r="J373" s="6" t="s">
        <v>128</v>
      </c>
      <c r="K373" s="6" t="s">
        <v>96</v>
      </c>
      <c r="L373" s="6">
        <v>1</v>
      </c>
      <c r="M373" s="6">
        <v>2432.17</v>
      </c>
      <c r="N373" s="6">
        <v>20</v>
      </c>
    </row>
  </sheetData>
  <conditionalFormatting sqref="A2:N373">
    <cfRule type="expression" dxfId="0" priority="1">
      <formula>AND($I2=$P$15,$J2=$Q$15)</formula>
    </cfRule>
  </conditionalFormatting>
  <dataValidations count="3">
    <dataValidation type="list" allowBlank="1" showInputMessage="1" showErrorMessage="1" sqref="Q3" xr:uid="{E7EAECB9-255D-484C-9505-5BE78513D716}">
      <formula1>$T$3:$T$9</formula1>
    </dataValidation>
    <dataValidation type="list" allowBlank="1" showInputMessage="1" showErrorMessage="1" sqref="P15" xr:uid="{485BB1F4-E788-452F-8445-CA61FD31B2B4}">
      <formula1>$U$3:$U$8</formula1>
    </dataValidation>
    <dataValidation type="list" allowBlank="1" showInputMessage="1" showErrorMessage="1" sqref="Q15" xr:uid="{E9C7107B-DBAA-42DD-957C-61F9DAEEC7E7}">
      <formula1>$V$3:$V$26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BE6926-321A-4CBF-AAC8-3C8E54C38D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Cell_Reference (Mixed)</vt:lpstr>
      <vt:lpstr>Copy_paste</vt:lpstr>
      <vt:lpstr>Fill_Series</vt:lpstr>
      <vt:lpstr>Flash_Fill</vt:lpstr>
      <vt:lpstr>E_Commerce_Formulas</vt:lpstr>
      <vt:lpstr>E_Commerce_Sort_Filter</vt:lpstr>
      <vt:lpstr>Operator</vt:lpstr>
      <vt:lpstr>Classwork</vt:lpstr>
      <vt:lpstr>COUNT</vt:lpstr>
      <vt:lpstr>Cons1</vt:lpstr>
      <vt:lpstr>Cons2</vt:lpstr>
      <vt:lpstr>Cons3</vt:lpstr>
      <vt:lpstr>3DSum</vt:lpstr>
      <vt:lpstr>Conditional_Format</vt:lpstr>
      <vt:lpstr>E_Commerce_Sort_Filter!Criteria</vt:lpstr>
      <vt:lpstr>E_Commerce_Sort_Filter!Extract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Kuntal</dc:creator>
  <cp:lastModifiedBy>Kuntal Das</cp:lastModifiedBy>
  <dcterms:created xsi:type="dcterms:W3CDTF">2015-06-05T18:17:20Z</dcterms:created>
  <dcterms:modified xsi:type="dcterms:W3CDTF">2026-05-20T07:36:17Z</dcterms:modified>
</cp:coreProperties>
</file>